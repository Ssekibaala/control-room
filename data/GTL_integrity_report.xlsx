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Full Data" sheetId="2" state="visible" r:id="rId2"/>
    <sheet name="Critical Assets" sheetId="3" state="visible" r:id="rId3"/>
    <sheet name="Pending Customer Feedback" sheetId="4" state="visible" r:id="rId4"/>
    <sheet name="Border Risk" sheetId="5" state="visible" r:id="rId5"/>
    <sheet name="Recovered Since Yesterday" sheetId="6" state="visible" r:id="rId6"/>
    <sheet name="Healthy Fleet" sheetId="7" state="visible" r:id="rId7"/>
    <sheet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20"/>
    </font>
    <font>
      <name val="Arial"/>
      <i val="1"/>
      <color rgb="00595959"/>
      <sz val="11"/>
    </font>
    <font>
      <name val="Arial"/>
      <i val="1"/>
      <color rgb="00808080"/>
      <sz val="9"/>
    </font>
    <font>
      <name val="Arial"/>
      <b val="1"/>
      <color rgb="00FFFFFF"/>
      <sz val="13"/>
    </font>
    <font>
      <name val="Arial"/>
      <b val="1"/>
      <sz val="10.5"/>
    </font>
    <font>
      <name val="Arial"/>
      <b val="1"/>
      <color rgb="001F3864"/>
      <sz val="10.5"/>
    </font>
    <font>
      <name val="Arial"/>
      <sz val="10.5"/>
    </font>
    <font>
      <name val="Arial"/>
      <b val="1"/>
      <sz val="12"/>
    </font>
    <font>
      <name val="Arial"/>
      <b val="1"/>
      <color rgb="001F3864"/>
      <sz val="12"/>
    </font>
    <font>
      <name val="Arial"/>
      <sz val="10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C8A"/>
        <bgColor rgb="002E5C8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164" fontId="10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FleetData" displayName="FleetData" ref="A1:N1" headerRowCount="1">
  <autoFilter ref="A1:N1"/>
  <tableColumns count="14">
    <tableColumn id="1" name="Asset Plate"/>
    <tableColumn id="2" name="Status"/>
    <tableColumn id="3" name="Severity"/>
    <tableColumn id="4" name="Days Offline"/>
    <tableColumn id="5" name="Teletrac"/>
    <tableColumn id="6" name="MiX Unity"/>
    <tableColumn id="7" name="FT Cloud Camera"/>
    <tableColumn id="8" name="Border Risk"/>
    <tableColumn id="9" name="Nearest Border"/>
    <tableColumn id="10" name="Distance (km)"/>
    <tableColumn id="11" name="Customer Feedback"/>
    <tableColumn id="12" name="Recommended Action"/>
    <tableColumn id="13" name="Investigation Reasons"/>
    <tableColumn id="14" name="Last Known Lo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FLEET INTEGRITY REPORT</t>
        </is>
      </c>
    </row>
    <row r="2">
      <c r="A2" s="2" t="inlineStr">
        <is>
          <t>Automated Cross-Platform Analysis  |  Generated 08 September 2026, 11:41</t>
        </is>
      </c>
    </row>
    <row r="3">
      <c r="A3" s="3" t="inlineStr">
        <is>
          <t>Sources: Teletrac, MiX Unity (Mobile Status, Movement, Power Events), FT Cloud Camera Platform</t>
        </is>
      </c>
    </row>
    <row r="5" ht="22" customHeight="1">
      <c r="A5" s="4" t="inlineStr">
        <is>
          <t>FLEET HEALTH OVERVIEW</t>
        </is>
      </c>
    </row>
    <row r="6">
      <c r="A6" s="5" t="inlineStr">
        <is>
          <t>Total Assets Tracked</t>
        </is>
      </c>
      <c r="B6" s="6">
        <f>COUNTA('Full Data'!A2:A1)</f>
        <v/>
      </c>
    </row>
    <row r="7">
      <c r="A7" s="5" t="inlineStr">
        <is>
          <t>Online / Healthy</t>
        </is>
      </c>
      <c r="B7" s="6">
        <f>COUNTIF('Full Data'!B2:B1,"Online")</f>
        <v/>
      </c>
    </row>
    <row r="8">
      <c r="A8" s="5" t="inlineStr">
        <is>
          <t>Pending Customer Confirmation</t>
        </is>
      </c>
      <c r="B8" s="6">
        <f>COUNTIF('Full Data'!B2:B1,"Pending Customer Confirmation")</f>
        <v/>
      </c>
    </row>
    <row r="9">
      <c r="A9" s="5" t="inlineStr">
        <is>
          <t>Technical Escalation (Total)</t>
        </is>
      </c>
      <c r="B9" s="6">
        <f>COUNTIF('Full Data'!B2:B1,"Technical Escalation")</f>
        <v/>
      </c>
    </row>
    <row r="10">
      <c r="A10" s="7" t="inlineStr">
        <is>
          <t xml:space="preserve">  Critical - Long-term Fault</t>
        </is>
      </c>
      <c r="B10" s="6">
        <f>COUNTIF('Full Data'!C2:C1,"Critical - Long-term Fault")</f>
        <v/>
      </c>
    </row>
    <row r="11">
      <c r="A11" s="7" t="inlineStr">
        <is>
          <t xml:space="preserve">  High - Escalate This Week</t>
        </is>
      </c>
      <c r="B11" s="6">
        <f>COUNTIF('Full Data'!C2:C1,"High - Escalate This Week")</f>
        <v/>
      </c>
    </row>
    <row r="12">
      <c r="A12" s="7" t="inlineStr">
        <is>
          <t xml:space="preserve">  Elevated - Monitor</t>
        </is>
      </c>
      <c r="B12" s="6">
        <f>COUNTIF('Full Data'!C2:C1,"Elevated - Monitor")</f>
        <v/>
      </c>
    </row>
    <row r="13">
      <c r="A13" s="5" t="inlineStr">
        <is>
          <t>Genuine Border-Crossing Risk</t>
        </is>
      </c>
      <c r="B13" s="6">
        <f>COUNTIF('Full Data'!H2:H1,"Yes")</f>
        <v/>
      </c>
    </row>
    <row r="15">
      <c r="A15" s="8" t="inlineStr">
        <is>
          <t>Fleet Health Rate</t>
        </is>
      </c>
      <c r="B15" s="9">
        <f>B7/B6</f>
        <v/>
      </c>
    </row>
    <row r="17" ht="22" customHeight="1">
      <c r="A17" s="10" t="inlineStr">
        <is>
          <t>DAY-OVER-DAY CHANGE</t>
        </is>
      </c>
    </row>
    <row r="18">
      <c r="A18" s="7" t="inlineStr">
        <is>
          <t>Recovered since yesterday: 0</t>
        </is>
      </c>
    </row>
    <row r="19">
      <c r="A19" s="7" t="inlineStr">
        <is>
          <t>Newly offline since yesterday: 0</t>
        </is>
      </c>
    </row>
    <row r="21" ht="22" customHeight="1">
      <c r="A21" s="11" t="inlineStr">
        <is>
          <t>TOP PRIORITY: see 'Critical Assets' tab for the ranked action list, worst case first.</t>
        </is>
      </c>
    </row>
    <row r="23" ht="30" customHeight="1">
      <c r="A23" s="12" t="inlineStr">
        <is>
          <t>•  0 asset(s) show genuine border-crossing risk: offline AND last seen within 20km of a known crossing. See 'Border Risk' tab.</t>
        </is>
      </c>
    </row>
    <row r="24" ht="30" customHeight="1">
      <c r="A24" s="12" t="inlineStr">
        <is>
          <t>•  0 asset(s) have been offline 30+ days on every platform, these are the longest-standing faults, recommend field recovery.</t>
        </is>
      </c>
    </row>
    <row r="25" ht="30" customHeight="1">
      <c r="A25" s="12" t="inlineStr">
        <is>
          <t>•  Offline threshold in effect for this report: 2.0 day(s), editable in d:\Projects\control-room\data\settings.ini.</t>
        </is>
      </c>
    </row>
  </sheetData>
  <mergeCells count="9">
    <mergeCell ref="A24:F24"/>
    <mergeCell ref="A2:F2"/>
    <mergeCell ref="A1:F1"/>
    <mergeCell ref="A5:F5"/>
    <mergeCell ref="A23:F23"/>
    <mergeCell ref="A17:F17"/>
    <mergeCell ref="A3:F3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0" customWidth="1" min="9" max="9"/>
    <col width="12" customWidth="1" min="10" max="10"/>
    <col width="34" customWidth="1" min="11" max="11"/>
    <col width="32" customWidth="1" min="12" max="12"/>
    <col width="46" customWidth="1" min="13" max="13"/>
    <col width="36" customWidth="1" min="14" max="14"/>
  </cols>
  <sheetData>
    <row r="1">
      <c r="A1" s="13" t="inlineStr">
        <is>
          <t>Asset Plate</t>
        </is>
      </c>
      <c r="B1" s="13" t="inlineStr">
        <is>
          <t>Status</t>
        </is>
      </c>
      <c r="C1" s="13" t="inlineStr">
        <is>
          <t>Severity</t>
        </is>
      </c>
      <c r="D1" s="13" t="inlineStr">
        <is>
          <t>Days Offline</t>
        </is>
      </c>
      <c r="E1" s="13" t="inlineStr">
        <is>
          <t>Teletrac</t>
        </is>
      </c>
      <c r="F1" s="13" t="inlineStr">
        <is>
          <t>MiX Unity</t>
        </is>
      </c>
      <c r="G1" s="13" t="inlineStr">
        <is>
          <t>FT Cloud Camera</t>
        </is>
      </c>
      <c r="H1" s="13" t="inlineStr">
        <is>
          <t>Border Risk</t>
        </is>
      </c>
      <c r="I1" s="13" t="inlineStr">
        <is>
          <t>Nearest Border</t>
        </is>
      </c>
      <c r="J1" s="13" t="inlineStr">
        <is>
          <t>Distance (km)</t>
        </is>
      </c>
      <c r="K1" s="13" t="inlineStr">
        <is>
          <t>Customer Feedback</t>
        </is>
      </c>
      <c r="L1" s="13" t="inlineStr">
        <is>
          <t>Recommended Action</t>
        </is>
      </c>
      <c r="M1" s="13" t="inlineStr">
        <is>
          <t>Investigation Reasons</t>
        </is>
      </c>
      <c r="N1" s="13" t="inlineStr">
        <is>
          <t>Last Known Location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20" customWidth="1" min="10" max="10"/>
    <col width="12" customWidth="1" min="11" max="11"/>
    <col width="34" customWidth="1" min="12" max="12"/>
    <col width="32" customWidth="1" min="13" max="13"/>
    <col width="46" customWidth="1" min="14" max="14"/>
    <col width="36" customWidth="1" min="15" max="15"/>
  </cols>
  <sheetData>
    <row r="1">
      <c r="A1" s="14" t="inlineStr">
        <is>
          <t>Rank</t>
        </is>
      </c>
      <c r="B1" s="14" t="inlineStr">
        <is>
          <t>Asset Plate</t>
        </is>
      </c>
      <c r="C1" s="14" t="inlineStr">
        <is>
          <t>Status</t>
        </is>
      </c>
      <c r="D1" s="14" t="inlineStr">
        <is>
          <t>Severity</t>
        </is>
      </c>
      <c r="E1" s="14" t="inlineStr">
        <is>
          <t>Days Offline</t>
        </is>
      </c>
      <c r="F1" s="14" t="inlineStr">
        <is>
          <t>Teletrac</t>
        </is>
      </c>
      <c r="G1" s="14" t="inlineStr">
        <is>
          <t>MiX Unity</t>
        </is>
      </c>
      <c r="H1" s="14" t="inlineStr">
        <is>
          <t>FT Cloud Camera</t>
        </is>
      </c>
      <c r="I1" s="14" t="inlineStr">
        <is>
          <t>Border Risk</t>
        </is>
      </c>
      <c r="J1" s="14" t="inlineStr">
        <is>
          <t>Nearest Border</t>
        </is>
      </c>
      <c r="K1" s="14" t="inlineStr">
        <is>
          <t>Distance (km)</t>
        </is>
      </c>
      <c r="L1" s="14" t="inlineStr">
        <is>
          <t>Customer Feedback</t>
        </is>
      </c>
      <c r="M1" s="14" t="inlineStr">
        <is>
          <t>Recommended Action</t>
        </is>
      </c>
      <c r="N1" s="14" t="inlineStr">
        <is>
          <t>Investigation Reasons</t>
        </is>
      </c>
      <c r="O1" s="14" t="inlineStr">
        <is>
          <t>Last Known 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0" customWidth="1" min="9" max="9"/>
    <col width="12" customWidth="1" min="10" max="10"/>
    <col width="34" customWidth="1" min="11" max="11"/>
    <col width="32" customWidth="1" min="12" max="12"/>
    <col width="46" customWidth="1" min="13" max="13"/>
    <col width="36" customWidth="1" min="14" max="14"/>
  </cols>
  <sheetData>
    <row r="1">
      <c r="A1" s="15" t="inlineStr">
        <is>
          <t>Asset Plate</t>
        </is>
      </c>
      <c r="B1" s="15" t="inlineStr">
        <is>
          <t>Status</t>
        </is>
      </c>
      <c r="C1" s="15" t="inlineStr">
        <is>
          <t>Severity</t>
        </is>
      </c>
      <c r="D1" s="15" t="inlineStr">
        <is>
          <t>Days Offline</t>
        </is>
      </c>
      <c r="E1" s="15" t="inlineStr">
        <is>
          <t>Teletrac</t>
        </is>
      </c>
      <c r="F1" s="15" t="inlineStr">
        <is>
          <t>MiX Unity</t>
        </is>
      </c>
      <c r="G1" s="15" t="inlineStr">
        <is>
          <t>FT Cloud Camera</t>
        </is>
      </c>
      <c r="H1" s="15" t="inlineStr">
        <is>
          <t>Border Risk</t>
        </is>
      </c>
      <c r="I1" s="15" t="inlineStr">
        <is>
          <t>Nearest Border</t>
        </is>
      </c>
      <c r="J1" s="15" t="inlineStr">
        <is>
          <t>Distance (km)</t>
        </is>
      </c>
      <c r="K1" s="15" t="inlineStr">
        <is>
          <t>Customer Feedback</t>
        </is>
      </c>
      <c r="L1" s="15" t="inlineStr">
        <is>
          <t>Recommended Action</t>
        </is>
      </c>
      <c r="M1" s="15" t="inlineStr">
        <is>
          <t>Investigation Reasons</t>
        </is>
      </c>
      <c r="N1" s="15" t="inlineStr">
        <is>
          <t>Last Known 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0" customWidth="1" min="9" max="9"/>
    <col width="12" customWidth="1" min="10" max="10"/>
    <col width="34" customWidth="1" min="11" max="11"/>
    <col width="32" customWidth="1" min="12" max="12"/>
    <col width="46" customWidth="1" min="13" max="13"/>
    <col width="36" customWidth="1" min="14" max="14"/>
  </cols>
  <sheetData>
    <row r="1">
      <c r="A1" s="14" t="inlineStr">
        <is>
          <t>Asset Plate</t>
        </is>
      </c>
      <c r="B1" s="14" t="inlineStr">
        <is>
          <t>Status</t>
        </is>
      </c>
      <c r="C1" s="14" t="inlineStr">
        <is>
          <t>Severity</t>
        </is>
      </c>
      <c r="D1" s="14" t="inlineStr">
        <is>
          <t>Days Offline</t>
        </is>
      </c>
      <c r="E1" s="14" t="inlineStr">
        <is>
          <t>Teletrac</t>
        </is>
      </c>
      <c r="F1" s="14" t="inlineStr">
        <is>
          <t>MiX Unity</t>
        </is>
      </c>
      <c r="G1" s="14" t="inlineStr">
        <is>
          <t>FT Cloud Camera</t>
        </is>
      </c>
      <c r="H1" s="14" t="inlineStr">
        <is>
          <t>Border Risk</t>
        </is>
      </c>
      <c r="I1" s="14" t="inlineStr">
        <is>
          <t>Nearest Border</t>
        </is>
      </c>
      <c r="J1" s="14" t="inlineStr">
        <is>
          <t>Distance (km)</t>
        </is>
      </c>
      <c r="K1" s="14" t="inlineStr">
        <is>
          <t>Customer Feedback</t>
        </is>
      </c>
      <c r="L1" s="14" t="inlineStr">
        <is>
          <t>Recommended Action</t>
        </is>
      </c>
      <c r="M1" s="14" t="inlineStr">
        <is>
          <t>Investigation Reasons</t>
        </is>
      </c>
      <c r="N1" s="14" t="inlineStr">
        <is>
          <t>Last Known Location</t>
        </is>
      </c>
    </row>
    <row r="2">
      <c r="A2" s="16" t="inlineStr">
        <is>
          <t>No genuine border-crossing risk cases in this run.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15" t="inlineStr">
        <is>
          <t>Asset Plate</t>
        </is>
      </c>
      <c r="B1" s="15" t="inlineStr">
        <is>
          <t>Current Status</t>
        </is>
      </c>
    </row>
    <row r="2">
      <c r="A2" s="16" t="inlineStr">
        <is>
          <t>No assets recovered since yesterday.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42" customWidth="1" min="5" max="5"/>
  </cols>
  <sheetData>
    <row r="1">
      <c r="A1" s="17" t="inlineStr">
        <is>
          <t>Asset Plate</t>
        </is>
      </c>
      <c r="B1" s="17" t="inlineStr">
        <is>
          <t>Teletrac</t>
        </is>
      </c>
      <c r="C1" s="17" t="inlineStr">
        <is>
          <t>MiX Unity</t>
        </is>
      </c>
      <c r="D1" s="17" t="inlineStr">
        <is>
          <t>FT Cloud Camera</t>
        </is>
      </c>
      <c r="E1" s="17" t="inlineStr">
        <is>
          <t>Last Known 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3" t="inlineStr">
        <is>
          <t>Setting</t>
        </is>
      </c>
      <c r="B1" s="13" t="inlineStr">
        <is>
          <t>Value Used For This Report</t>
        </is>
      </c>
    </row>
    <row r="2">
      <c r="A2" t="inlineStr">
        <is>
          <t>Offline Threshold (days)</t>
        </is>
      </c>
      <c r="B2" t="n">
        <v>2</v>
      </c>
    </row>
    <row r="3">
      <c r="A3" t="inlineStr">
        <is>
          <t>High Priority Threshold (days)</t>
        </is>
      </c>
      <c r="B3" t="n">
        <v>7</v>
      </c>
    </row>
    <row r="4">
      <c r="A4" t="inlineStr">
        <is>
          <t>Long-term Fault Threshold (days)</t>
        </is>
      </c>
      <c r="B4" t="n">
        <v>30</v>
      </c>
    </row>
    <row r="5">
      <c r="A5" t="inlineStr">
        <is>
          <t>Border Radius (km)</t>
        </is>
      </c>
      <c r="B5" t="n">
        <v>20</v>
      </c>
    </row>
    <row r="6">
      <c r="A6" t="inlineStr">
        <is>
          <t>Ignore Demo Vehicles</t>
        </is>
      </c>
      <c r="B6" t="b">
        <v>1</v>
      </c>
    </row>
    <row r="8">
      <c r="A8" t="inlineStr">
        <is>
          <t>Settings file location</t>
        </is>
      </c>
      <c r="B8" t="inlineStr">
        <is>
          <t>d:\Projects\control-room\data\settings.ini</t>
        </is>
      </c>
    </row>
    <row r="9">
      <c r="A9" t="inlineStr">
        <is>
          <t>To change these values</t>
        </is>
      </c>
      <c r="B9" t="inlineStr">
        <is>
          <t>Edit settings.ini next to the EXE, then re-run. No code changes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2026-09-08T08:41:48Z</dcterms:created>
  <dcterms:modified xsi:type="dcterms:W3CDTF">2026-09-08T08:41:48Z</dcterms:modified>
</cp:coreProperties>
</file>