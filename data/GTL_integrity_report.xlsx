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Full Data" sheetId="2" state="visible" r:id="rId2"/>
    <sheet name="Critical Assets" sheetId="3" state="visible" r:id="rId3"/>
    <sheet name="Pending Customer Feedback" sheetId="4" state="visible" r:id="rId4"/>
    <sheet name="Border Risk" sheetId="5" state="visible" r:id="rId5"/>
    <sheet name="Recovered Since Yesterday" sheetId="6" state="visible" r:id="rId6"/>
    <sheet name="Healthy Fleet" sheetId="7" state="visible" r:id="rId7"/>
    <sheet name="Setting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1F3864"/>
      <sz val="20"/>
    </font>
    <font>
      <name val="Arial"/>
      <i val="1"/>
      <color rgb="00595959"/>
      <sz val="11"/>
    </font>
    <font>
      <name val="Arial"/>
      <i val="1"/>
      <color rgb="00808080"/>
      <sz val="9"/>
    </font>
    <font>
      <name val="Arial"/>
      <b val="1"/>
      <color rgb="00FFFFFF"/>
      <sz val="13"/>
    </font>
    <font>
      <name val="Arial"/>
      <b val="1"/>
      <sz val="10.5"/>
    </font>
    <font>
      <name val="Arial"/>
      <b val="1"/>
      <color rgb="001F3864"/>
      <sz val="10.5"/>
    </font>
    <font>
      <name val="Arial"/>
      <sz val="10.5"/>
    </font>
    <font>
      <name val="Arial"/>
      <b val="1"/>
      <sz val="12"/>
    </font>
    <font>
      <name val="Arial"/>
      <b val="1"/>
      <color rgb="001F3864"/>
      <sz val="12"/>
    </font>
    <font>
      <name val="Arial"/>
      <i val="1"/>
      <color rgb="00808080"/>
      <sz val="10.5"/>
    </font>
    <font>
      <name val="Arial"/>
      <i val="1"/>
      <color rgb="00808080"/>
      <sz val="10"/>
    </font>
  </fonts>
  <fills count="12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C7CE"/>
        <bgColor rgb="00FFC7CE"/>
      </patternFill>
    </fill>
    <fill>
      <patternFill patternType="solid">
        <fgColor rgb="00DDEBF7"/>
        <bgColor rgb="00DDEBF7"/>
      </patternFill>
    </fill>
    <fill>
      <patternFill patternType="solid">
        <fgColor rgb="00FCE4D6"/>
        <bgColor rgb="00FCE4D6"/>
      </patternFill>
    </fill>
    <fill>
      <patternFill patternType="solid">
        <fgColor rgb="00FFF2CC"/>
        <bgColor rgb="00FFF2CC"/>
      </patternFill>
    </fill>
    <fill>
      <patternFill patternType="solid">
        <fgColor rgb="00F4CCCC"/>
        <bgColor rgb="00F4CCCC"/>
      </patternFill>
    </fill>
    <fill>
      <patternFill patternType="solid">
        <fgColor rgb="00E2EFDA"/>
        <bgColor rgb="00E2EFDA"/>
      </patternFill>
    </fill>
    <fill>
      <patternFill patternType="solid">
        <fgColor rgb="002E5C8A"/>
        <bgColor rgb="002E5C8A"/>
      </patternFill>
    </fill>
    <fill>
      <patternFill patternType="solid">
        <fgColor rgb="00C00000"/>
        <bgColor rgb="00C00000"/>
      </patternFill>
    </fill>
    <fill>
      <patternFill patternType="solid">
        <fgColor rgb="00548235"/>
        <bgColor rgb="0054823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9" fillId="0" borderId="0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164" fontId="12" fillId="0" borderId="0" applyAlignment="1" pivotButton="0" quotePrefix="0" xfId="0">
      <alignment horizontal="center"/>
    </xf>
    <xf numFmtId="0" fontId="7" fillId="9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1" fillId="10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horizontal="left" vertical="top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3" fillId="7" borderId="1" applyAlignment="1" pivotButton="0" quotePrefix="0" xfId="0">
      <alignment vertical="center"/>
    </xf>
    <xf numFmtId="0" fontId="2" fillId="8" borderId="1" applyAlignment="1" pivotButton="0" quotePrefix="0" xfId="0">
      <alignment vertical="center"/>
    </xf>
    <xf numFmtId="0" fontId="1" fillId="10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1" fillId="9" borderId="1" applyAlignment="1" pivotButton="0" quotePrefix="0" xfId="0">
      <alignment horizontal="center" vertical="center" wrapText="1"/>
    </xf>
    <xf numFmtId="0" fontId="14" fillId="0" borderId="0" pivotButton="0" quotePrefix="0" xfId="0"/>
    <xf numFmtId="0" fontId="1" fillId="11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FleetData" displayName="FleetData" ref="A1:N128" headerRowCount="1">
  <autoFilter ref="A1:N128"/>
  <tableColumns count="14">
    <tableColumn id="1" name="Asset Plate"/>
    <tableColumn id="2" name="Status"/>
    <tableColumn id="3" name="Severity"/>
    <tableColumn id="4" name="Days Offline"/>
    <tableColumn id="5" name="Teletrac"/>
    <tableColumn id="6" name="MiX Unity"/>
    <tableColumn id="7" name="FT Cloud Camera"/>
    <tableColumn id="8" name="Border Risk"/>
    <tableColumn id="9" name="Nearest Border"/>
    <tableColumn id="10" name="Distance (km)"/>
    <tableColumn id="11" name="Customer Feedback"/>
    <tableColumn id="12" name="Recommended Action"/>
    <tableColumn id="13" name="Investigation Reasons"/>
    <tableColumn id="14" name="Last Known Location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GTL FLEET INTEGRITY REPORT</t>
        </is>
      </c>
    </row>
    <row r="2">
      <c r="A2" s="2" t="inlineStr">
        <is>
          <t>Automated Cross-Platform Analysis  |  Generated 25 July 2026, 15:37</t>
        </is>
      </c>
    </row>
    <row r="3">
      <c r="A3" s="3" t="inlineStr">
        <is>
          <t>Sources: Teletrac, MiX Unity (Mobile Status, Movement, Power Events), FT Cloud Camera Platform</t>
        </is>
      </c>
    </row>
    <row r="5" ht="22" customHeight="1">
      <c r="A5" s="4" t="inlineStr">
        <is>
          <t>FLEET HEALTH OVERVIEW</t>
        </is>
      </c>
    </row>
    <row r="6">
      <c r="A6" s="5" t="inlineStr">
        <is>
          <t>Total Assets Tracked</t>
        </is>
      </c>
      <c r="B6" s="6">
        <f>COUNTA('Full Data'!A2:A128)</f>
        <v/>
      </c>
    </row>
    <row r="7">
      <c r="A7" s="5" t="inlineStr">
        <is>
          <t>Online / Healthy</t>
        </is>
      </c>
      <c r="B7" s="6">
        <f>COUNTIF('Full Data'!B2:B128,"Online")</f>
        <v/>
      </c>
    </row>
    <row r="8">
      <c r="A8" s="5" t="inlineStr">
        <is>
          <t>Pending Customer Confirmation</t>
        </is>
      </c>
      <c r="B8" s="6">
        <f>COUNTIF('Full Data'!B2:B128,"Pending Customer Confirmation")</f>
        <v/>
      </c>
    </row>
    <row r="9">
      <c r="A9" s="5" t="inlineStr">
        <is>
          <t>Technical Escalation (Total)</t>
        </is>
      </c>
      <c r="B9" s="6">
        <f>COUNTIF('Full Data'!B2:B128,"Technical Escalation")</f>
        <v/>
      </c>
    </row>
    <row r="10">
      <c r="A10" s="7" t="inlineStr">
        <is>
          <t xml:space="preserve">  Critical - Long-term Fault</t>
        </is>
      </c>
      <c r="B10" s="6">
        <f>COUNTIF('Full Data'!C2:C128,"Critical - Long-term Fault")</f>
        <v/>
      </c>
    </row>
    <row r="11">
      <c r="A11" s="7" t="inlineStr">
        <is>
          <t xml:space="preserve">  High - Escalate This Week</t>
        </is>
      </c>
      <c r="B11" s="6">
        <f>COUNTIF('Full Data'!C2:C128,"High - Escalate This Week")</f>
        <v/>
      </c>
    </row>
    <row r="12">
      <c r="A12" s="7" t="inlineStr">
        <is>
          <t xml:space="preserve">  Elevated - Monitor</t>
        </is>
      </c>
      <c r="B12" s="6">
        <f>COUNTIF('Full Data'!C2:C128,"Elevated - Monitor")</f>
        <v/>
      </c>
    </row>
    <row r="13">
      <c r="A13" s="5" t="inlineStr">
        <is>
          <t>Genuine Border-Crossing Risk</t>
        </is>
      </c>
      <c r="B13" s="6">
        <f>COUNTIF('Full Data'!H2:H128,"Yes")</f>
        <v/>
      </c>
    </row>
    <row r="15">
      <c r="A15" s="8" t="inlineStr">
        <is>
          <t>Fleet Health Rate</t>
        </is>
      </c>
      <c r="B15" s="9">
        <f>B7/B6</f>
        <v/>
      </c>
    </row>
    <row r="17" ht="22" customHeight="1">
      <c r="A17" s="10" t="inlineStr">
        <is>
          <t>DAY-OVER-DAY CHANGE</t>
        </is>
      </c>
    </row>
    <row r="18">
      <c r="A18" s="11" t="inlineStr">
        <is>
          <t>No prior-day snapshot yet, day-over-day tracking starts from tomorrow's run.</t>
        </is>
      </c>
    </row>
    <row r="20" ht="22" customHeight="1">
      <c r="A20" s="12" t="inlineStr">
        <is>
          <t>TOP PRIORITY: see 'Critical Assets' tab for the ranked action list, worst case first.</t>
        </is>
      </c>
    </row>
    <row r="22" ht="30" customHeight="1">
      <c r="A22" s="13" t="inlineStr">
        <is>
          <t>•  1 asset(s) show genuine border-crossing risk: offline AND last seen within 20km of a known crossing. See 'Border Risk' tab.</t>
        </is>
      </c>
    </row>
    <row r="23" ht="30" customHeight="1">
      <c r="A23" s="13" t="inlineStr">
        <is>
          <t>•  9 asset(s) have been offline 30+ days on every platform, these are the longest-standing faults, recommend field recovery.</t>
        </is>
      </c>
    </row>
    <row r="24" ht="30" customHeight="1">
      <c r="A24" s="13" t="inlineStr">
        <is>
          <t>•  Offline threshold in effect for this report: 2.0 day(s), editable in C:\Users\USER1\Box\DEV projects\gtl_control_room\data\settings.ini.</t>
        </is>
      </c>
    </row>
  </sheetData>
  <mergeCells count="9">
    <mergeCell ref="A24:F24"/>
    <mergeCell ref="A2:F2"/>
    <mergeCell ref="A1:F1"/>
    <mergeCell ref="A5:F5"/>
    <mergeCell ref="A23:F23"/>
    <mergeCell ref="A22:F22"/>
    <mergeCell ref="A17:F17"/>
    <mergeCell ref="A3:F3"/>
    <mergeCell ref="A20:F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14" t="inlineStr">
        <is>
          <t>Asset Plate</t>
        </is>
      </c>
      <c r="B1" s="14" t="inlineStr">
        <is>
          <t>Status</t>
        </is>
      </c>
      <c r="C1" s="14" t="inlineStr">
        <is>
          <t>Severity</t>
        </is>
      </c>
      <c r="D1" s="14" t="inlineStr">
        <is>
          <t>Days Offline</t>
        </is>
      </c>
      <c r="E1" s="14" t="inlineStr">
        <is>
          <t>Teletrac</t>
        </is>
      </c>
      <c r="F1" s="14" t="inlineStr">
        <is>
          <t>MiX Unity</t>
        </is>
      </c>
      <c r="G1" s="14" t="inlineStr">
        <is>
          <t>FT Cloud Camera</t>
        </is>
      </c>
      <c r="H1" s="14" t="inlineStr">
        <is>
          <t>Border Risk</t>
        </is>
      </c>
      <c r="I1" s="14" t="inlineStr">
        <is>
          <t>Nearest Border</t>
        </is>
      </c>
      <c r="J1" s="14" t="inlineStr">
        <is>
          <t>Distance (km)</t>
        </is>
      </c>
      <c r="K1" s="14" t="inlineStr">
        <is>
          <t>Customer Feedback</t>
        </is>
      </c>
      <c r="L1" s="14" t="inlineStr">
        <is>
          <t>Recommended Action</t>
        </is>
      </c>
      <c r="M1" s="14" t="inlineStr">
        <is>
          <t>Investigation Reasons</t>
        </is>
      </c>
      <c r="N1" s="14" t="inlineStr">
        <is>
          <t>Last Known Location</t>
        </is>
      </c>
    </row>
    <row r="2">
      <c r="A2" s="15" t="inlineStr">
        <is>
          <t>KDJ251Z</t>
        </is>
      </c>
      <c r="B2" s="16" t="inlineStr">
        <is>
          <t>Technical Escalation</t>
        </is>
      </c>
      <c r="C2" s="15" t="inlineStr">
        <is>
          <t>Critical - Long-term Fault</t>
        </is>
      </c>
      <c r="D2" s="15" t="n">
        <v>635.3</v>
      </c>
      <c r="E2" s="15" t="inlineStr">
        <is>
          <t>N/A</t>
        </is>
      </c>
      <c r="F2" s="15" t="inlineStr">
        <is>
          <t>Offline</t>
        </is>
      </c>
      <c r="G2" s="15" t="inlineStr">
        <is>
          <t>N/A</t>
        </is>
      </c>
      <c r="H2" s="15" t="inlineStr">
        <is>
          <t>No</t>
        </is>
      </c>
      <c r="I2" s="15" t="inlineStr"/>
      <c r="J2" s="15" t="inlineStr"/>
      <c r="K2" s="15" t="inlineStr"/>
      <c r="L2" s="15" t="inlineStr">
        <is>
          <t>Recover device - long-term fault, schedule field recovery</t>
        </is>
      </c>
      <c r="M2" s="15" t="inlineStr">
        <is>
          <t>Offline 635.3 day(s); No customer feedback on file</t>
        </is>
      </c>
      <c r="N2" s="15" t="inlineStr">
        <is>
          <t>Unnamed Road, Uganda</t>
        </is>
      </c>
    </row>
    <row r="3">
      <c r="A3" s="15" t="inlineStr">
        <is>
          <t>UBQ545X</t>
        </is>
      </c>
      <c r="B3" s="17" t="inlineStr">
        <is>
          <t>Pending Customer Confirmation</t>
        </is>
      </c>
      <c r="C3" s="15" t="inlineStr">
        <is>
          <t>Awaiting Confirmation</t>
        </is>
      </c>
      <c r="D3" s="15" t="n">
        <v>109.9</v>
      </c>
      <c r="E3" s="15" t="inlineStr">
        <is>
          <t>N/A</t>
        </is>
      </c>
      <c r="F3" s="15" t="inlineStr">
        <is>
          <t>Online</t>
        </is>
      </c>
      <c r="G3" s="15" t="inlineStr">
        <is>
          <t>Offline</t>
        </is>
      </c>
      <c r="H3" s="15" t="inlineStr">
        <is>
          <t>No</t>
        </is>
      </c>
      <c r="I3" s="15" t="inlineStr"/>
      <c r="J3" s="15" t="inlineStr"/>
      <c r="K3" s="15" t="inlineStr"/>
      <c r="L3" s="15" t="inlineStr">
        <is>
          <t>Recover device - long-term fault, schedule field recovery</t>
        </is>
      </c>
      <c r="M3" s="15" t="inlineStr">
        <is>
          <t>Offline 109.9 day(s); No customer feedback on file</t>
        </is>
      </c>
      <c r="N3" s="15" t="inlineStr">
        <is>
          <t>Limuru, Nduma., KenyaB3, Kenya</t>
        </is>
      </c>
    </row>
    <row r="4">
      <c r="A4" s="15" t="inlineStr">
        <is>
          <t>UA899CE</t>
        </is>
      </c>
      <c r="B4" s="16" t="inlineStr">
        <is>
          <t>Technical Escalation</t>
        </is>
      </c>
      <c r="C4" s="15" t="inlineStr">
        <is>
          <t>Critical - Long-term Fault</t>
        </is>
      </c>
      <c r="D4" s="15" t="n">
        <v>99.8</v>
      </c>
      <c r="E4" s="15" t="inlineStr">
        <is>
          <t>N/A</t>
        </is>
      </c>
      <c r="F4" s="15" t="inlineStr">
        <is>
          <t>Offline</t>
        </is>
      </c>
      <c r="G4" s="15" t="inlineStr">
        <is>
          <t>N/A</t>
        </is>
      </c>
      <c r="H4" s="15" t="inlineStr">
        <is>
          <t>No</t>
        </is>
      </c>
      <c r="I4" s="15" t="inlineStr"/>
      <c r="J4" s="15" t="inlineStr"/>
      <c r="K4" s="15" t="inlineStr"/>
      <c r="L4" s="15" t="inlineStr">
        <is>
          <t>Recover device - long-term fault, schedule field recovery</t>
        </is>
      </c>
      <c r="M4" s="15" t="inlineStr">
        <is>
          <t>Offline 99.8 day(s); No customer feedback on file</t>
        </is>
      </c>
      <c r="N4" s="15" t="inlineStr">
        <is>
          <t>SALGAA, Nakuru road KenyaQVR5+35V, Nakuru, Kenya</t>
        </is>
      </c>
    </row>
    <row r="5">
      <c r="A5" s="15" t="inlineStr">
        <is>
          <t>UBQ766P</t>
        </is>
      </c>
      <c r="B5" s="17" t="inlineStr">
        <is>
          <t>Pending Customer Confirmation</t>
        </is>
      </c>
      <c r="C5" s="15" t="inlineStr">
        <is>
          <t>Awaiting Confirmation</t>
        </is>
      </c>
      <c r="D5" s="15" t="n">
        <v>95.59999999999999</v>
      </c>
      <c r="E5" s="15" t="inlineStr">
        <is>
          <t>Online</t>
        </is>
      </c>
      <c r="F5" s="15" t="inlineStr">
        <is>
          <t>Online</t>
        </is>
      </c>
      <c r="G5" s="15" t="inlineStr">
        <is>
          <t>Offline</t>
        </is>
      </c>
      <c r="H5" s="15" t="inlineStr">
        <is>
          <t>No</t>
        </is>
      </c>
      <c r="I5" s="15" t="inlineStr"/>
      <c r="J5" s="15" t="inlineStr"/>
      <c r="K5" s="15" t="inlineStr"/>
      <c r="L5" s="15" t="inlineStr">
        <is>
          <t>Recover device - long-term fault, schedule field recovery</t>
        </is>
      </c>
      <c r="M5" s="15" t="inlineStr">
        <is>
          <t>Offline 95.6 day(s); No customer feedback on file</t>
        </is>
      </c>
      <c r="N5" s="15" t="inlineStr">
        <is>
          <t>Butto, Wakiso, Central Region, Uganda</t>
        </is>
      </c>
    </row>
    <row r="6">
      <c r="A6" s="15" t="inlineStr">
        <is>
          <t>UBQ763P</t>
        </is>
      </c>
      <c r="B6" s="17" t="inlineStr">
        <is>
          <t>Pending Customer Confirmation</t>
        </is>
      </c>
      <c r="C6" s="15" t="inlineStr">
        <is>
          <t>Awaiting Confirmation</t>
        </is>
      </c>
      <c r="D6" s="15" t="n">
        <v>91.5</v>
      </c>
      <c r="E6" s="15" t="inlineStr">
        <is>
          <t>N/A</t>
        </is>
      </c>
      <c r="F6" s="15" t="inlineStr">
        <is>
          <t>Online</t>
        </is>
      </c>
      <c r="G6" s="15" t="inlineStr">
        <is>
          <t>Offline</t>
        </is>
      </c>
      <c r="H6" s="15" t="inlineStr">
        <is>
          <t>No</t>
        </is>
      </c>
      <c r="I6" s="15" t="inlineStr"/>
      <c r="J6" s="15" t="inlineStr"/>
      <c r="K6" s="15" t="inlineStr"/>
      <c r="L6" s="15" t="inlineStr">
        <is>
          <t>Recover device - long-term fault, schedule field recovery</t>
        </is>
      </c>
      <c r="M6" s="15" t="inlineStr">
        <is>
          <t>Offline 91.5 day(s); No customer feedback on file</t>
        </is>
      </c>
      <c r="N6" s="15" t="inlineStr">
        <is>
          <t>MALABA, UgandaJ7Q5+Q5J, Malaba, Uganda</t>
        </is>
      </c>
    </row>
    <row r="7">
      <c r="A7" s="15" t="inlineStr">
        <is>
          <t>KDK280N</t>
        </is>
      </c>
      <c r="B7" s="16" t="inlineStr">
        <is>
          <t>Technical Escalation</t>
        </is>
      </c>
      <c r="C7" s="15" t="inlineStr">
        <is>
          <t>Critical - Long-term Fault</t>
        </is>
      </c>
      <c r="D7" s="15" t="n">
        <v>90.3</v>
      </c>
      <c r="E7" s="15" t="inlineStr">
        <is>
          <t>N/A</t>
        </is>
      </c>
      <c r="F7" s="15" t="inlineStr">
        <is>
          <t>Offline</t>
        </is>
      </c>
      <c r="G7" s="15" t="inlineStr">
        <is>
          <t>N/A</t>
        </is>
      </c>
      <c r="H7" s="15" t="inlineStr">
        <is>
          <t>No</t>
        </is>
      </c>
      <c r="I7" s="15" t="inlineStr"/>
      <c r="J7" s="15" t="inlineStr"/>
      <c r="K7" s="15" t="inlineStr"/>
      <c r="L7" s="15" t="inlineStr">
        <is>
          <t>Recover device - long-term fault, schedule field recovery</t>
        </is>
      </c>
      <c r="M7" s="15" t="inlineStr">
        <is>
          <t>Offline 90.3 day(s); No customer feedback on file</t>
        </is>
      </c>
      <c r="N7" s="15" t="inlineStr">
        <is>
          <t>Mazeras, Kenya2GMX+6Q2, Mazeras, Kenya</t>
        </is>
      </c>
    </row>
    <row r="8">
      <c r="A8" s="15" t="inlineStr">
        <is>
          <t>KDN892T</t>
        </is>
      </c>
      <c r="B8" s="16" t="inlineStr">
        <is>
          <t>Technical Escalation</t>
        </is>
      </c>
      <c r="C8" s="15" t="inlineStr">
        <is>
          <t>Critical - Long-term Fault</t>
        </is>
      </c>
      <c r="D8" s="15" t="n">
        <v>88.3</v>
      </c>
      <c r="E8" s="15" t="inlineStr">
        <is>
          <t>N/A</t>
        </is>
      </c>
      <c r="F8" s="15" t="inlineStr">
        <is>
          <t>Offline</t>
        </is>
      </c>
      <c r="G8" s="15" t="inlineStr">
        <is>
          <t>N/A</t>
        </is>
      </c>
      <c r="H8" s="15" t="inlineStr">
        <is>
          <t>No</t>
        </is>
      </c>
      <c r="I8" s="15" t="inlineStr"/>
      <c r="J8" s="15" t="inlineStr"/>
      <c r="K8" s="15" t="inlineStr"/>
      <c r="L8" s="15" t="inlineStr">
        <is>
          <t>Recover device - long-term fault, schedule field recovery</t>
        </is>
      </c>
      <c r="M8" s="15" t="inlineStr">
        <is>
          <t>Offline 88.3 day(s); No customer feedback on file</t>
        </is>
      </c>
      <c r="N8" s="15" t="inlineStr">
        <is>
          <t>Mombasa, KenyaMombasa Road, Mombasa, Kenya</t>
        </is>
      </c>
    </row>
    <row r="9">
      <c r="A9" s="15" t="inlineStr">
        <is>
          <t>KDN480R</t>
        </is>
      </c>
      <c r="B9" s="16" t="inlineStr">
        <is>
          <t>Technical Escalation</t>
        </is>
      </c>
      <c r="C9" s="15" t="inlineStr">
        <is>
          <t>Critical - Long-term Fault</t>
        </is>
      </c>
      <c r="D9" s="15" t="n">
        <v>88.2</v>
      </c>
      <c r="E9" s="15" t="inlineStr">
        <is>
          <t>N/A</t>
        </is>
      </c>
      <c r="F9" s="15" t="inlineStr">
        <is>
          <t>Offline</t>
        </is>
      </c>
      <c r="G9" s="15" t="inlineStr">
        <is>
          <t>N/A</t>
        </is>
      </c>
      <c r="H9" s="15" t="inlineStr">
        <is>
          <t>No</t>
        </is>
      </c>
      <c r="I9" s="15" t="inlineStr"/>
      <c r="J9" s="15" t="inlineStr"/>
      <c r="K9" s="15" t="inlineStr"/>
      <c r="L9" s="15" t="inlineStr">
        <is>
          <t>Recover device - long-term fault, schedule field recovery</t>
        </is>
      </c>
      <c r="M9" s="15" t="inlineStr">
        <is>
          <t>Offline 88.2 day(s); No customer feedback on file</t>
        </is>
      </c>
      <c r="N9" s="15" t="inlineStr">
        <is>
          <t>Miritini2H57+622, Chigato Village, Kenya</t>
        </is>
      </c>
    </row>
    <row r="10">
      <c r="A10" s="15" t="inlineStr">
        <is>
          <t>KDJ246Z</t>
        </is>
      </c>
      <c r="B10" s="16" t="inlineStr">
        <is>
          <t>Technical Escalation</t>
        </is>
      </c>
      <c r="C10" s="15" t="inlineStr">
        <is>
          <t>Critical - Long-term Fault</t>
        </is>
      </c>
      <c r="D10" s="15" t="n">
        <v>88.2</v>
      </c>
      <c r="E10" s="15" t="inlineStr">
        <is>
          <t>N/A</t>
        </is>
      </c>
      <c r="F10" s="15" t="inlineStr">
        <is>
          <t>Offline</t>
        </is>
      </c>
      <c r="G10" s="15" t="inlineStr">
        <is>
          <t>N/A</t>
        </is>
      </c>
      <c r="H10" s="15" t="inlineStr">
        <is>
          <t>No</t>
        </is>
      </c>
      <c r="I10" s="15" t="inlineStr"/>
      <c r="J10" s="15" t="inlineStr"/>
      <c r="K10" s="15" t="inlineStr"/>
      <c r="L10" s="15" t="inlineStr">
        <is>
          <t>Recover device - long-term fault, schedule field recovery</t>
        </is>
      </c>
      <c r="M10" s="15" t="inlineStr">
        <is>
          <t>Offline 88.2 day(s); No customer feedback on file</t>
        </is>
      </c>
      <c r="N10" s="15" t="inlineStr">
        <is>
          <t>MALABA, KenyaJ7MG+XJ8, A104, Malaba, Kenya</t>
        </is>
      </c>
    </row>
    <row r="11">
      <c r="A11" s="15" t="inlineStr">
        <is>
          <t>UBG875M</t>
        </is>
      </c>
      <c r="B11" s="16" t="inlineStr">
        <is>
          <t>Technical Escalation</t>
        </is>
      </c>
      <c r="C11" s="15" t="inlineStr">
        <is>
          <t>Critical - Long-term Fault</t>
        </is>
      </c>
      <c r="D11" s="15" t="n">
        <v>73</v>
      </c>
      <c r="E11" s="15" t="inlineStr">
        <is>
          <t>N/A</t>
        </is>
      </c>
      <c r="F11" s="15" t="inlineStr">
        <is>
          <t>Offline</t>
        </is>
      </c>
      <c r="G11" s="15" t="inlineStr">
        <is>
          <t>N/A</t>
        </is>
      </c>
      <c r="H11" s="15" t="inlineStr">
        <is>
          <t>No</t>
        </is>
      </c>
      <c r="I11" s="15" t="inlineStr"/>
      <c r="J11" s="15" t="inlineStr"/>
      <c r="K11" s="15" t="inlineStr"/>
      <c r="L11" s="15" t="inlineStr">
        <is>
          <t>Recover device - long-term fault, schedule field recovery</t>
        </is>
      </c>
      <c r="M11" s="15" t="inlineStr">
        <is>
          <t>Offline 73.0 day(s); No customer feedback on file</t>
        </is>
      </c>
      <c r="N11" s="15" t="inlineStr">
        <is>
          <t>GTL Butto YardAchon Cl, Uganda</t>
        </is>
      </c>
    </row>
    <row r="12">
      <c r="A12" s="15" t="inlineStr">
        <is>
          <t>UBQ536X</t>
        </is>
      </c>
      <c r="B12" s="17" t="inlineStr">
        <is>
          <t>Pending Customer Confirmation</t>
        </is>
      </c>
      <c r="C12" s="15" t="inlineStr">
        <is>
          <t>Awaiting Confirmation</t>
        </is>
      </c>
      <c r="D12" s="15" t="n">
        <v>67.8</v>
      </c>
      <c r="E12" s="15" t="inlineStr">
        <is>
          <t>Online</t>
        </is>
      </c>
      <c r="F12" s="15" t="inlineStr">
        <is>
          <t>Online</t>
        </is>
      </c>
      <c r="G12" s="15" t="inlineStr">
        <is>
          <t>Offline</t>
        </is>
      </c>
      <c r="H12" s="15" t="inlineStr">
        <is>
          <t>No</t>
        </is>
      </c>
      <c r="I12" s="15" t="inlineStr"/>
      <c r="J12" s="15" t="inlineStr"/>
      <c r="K12" s="15" t="inlineStr"/>
      <c r="L12" s="15" t="inlineStr">
        <is>
          <t>Recover device - long-term fault, schedule field recovery</t>
        </is>
      </c>
      <c r="M12" s="15" t="inlineStr">
        <is>
          <t>Offline 67.8 day(s); No customer feedback on file</t>
        </is>
      </c>
      <c r="N12" s="15" t="inlineStr">
        <is>
          <t>Rwenzori Bottling Company, 592, Jinja - Kampala Road, Seeta, Baggala, Mukono, Central Region, Uganda</t>
        </is>
      </c>
    </row>
    <row r="13">
      <c r="A13" s="15" t="inlineStr">
        <is>
          <t>UBQ375Q</t>
        </is>
      </c>
      <c r="B13" s="17" t="inlineStr">
        <is>
          <t>Pending Customer Confirmation</t>
        </is>
      </c>
      <c r="C13" s="15" t="inlineStr">
        <is>
          <t>Awaiting Confirmation</t>
        </is>
      </c>
      <c r="D13" s="15" t="n">
        <v>48.7</v>
      </c>
      <c r="E13" s="15" t="inlineStr">
        <is>
          <t>N/A</t>
        </is>
      </c>
      <c r="F13" s="15" t="inlineStr">
        <is>
          <t>Online</t>
        </is>
      </c>
      <c r="G13" s="15" t="inlineStr">
        <is>
          <t>Offline</t>
        </is>
      </c>
      <c r="H13" s="15" t="inlineStr">
        <is>
          <t>No</t>
        </is>
      </c>
      <c r="I13" s="15" t="inlineStr"/>
      <c r="J13" s="15" t="inlineStr"/>
      <c r="K13" s="15" t="inlineStr"/>
      <c r="L13" s="15" t="inlineStr">
        <is>
          <t>Recover device - long-term fault, schedule field recovery</t>
        </is>
      </c>
      <c r="M13" s="15" t="inlineStr">
        <is>
          <t>Offline 48.7 day(s); No customer feedback on file</t>
        </is>
      </c>
      <c r="N13" s="15" t="inlineStr">
        <is>
          <t>Tsavo NP KenyaMombasa Road, Kenya</t>
        </is>
      </c>
    </row>
    <row r="14">
      <c r="A14" s="15" t="inlineStr">
        <is>
          <t>UA382CH</t>
        </is>
      </c>
      <c r="B14" s="16" t="inlineStr">
        <is>
          <t>Technical Escalation</t>
        </is>
      </c>
      <c r="C14" s="15" t="inlineStr">
        <is>
          <t>Critical - Long-term Fault</t>
        </is>
      </c>
      <c r="D14" s="15" t="n">
        <v>44.1</v>
      </c>
      <c r="E14" s="15" t="inlineStr">
        <is>
          <t>N/A</t>
        </is>
      </c>
      <c r="F14" s="15" t="inlineStr">
        <is>
          <t>Offline</t>
        </is>
      </c>
      <c r="G14" s="15" t="inlineStr">
        <is>
          <t>N/A</t>
        </is>
      </c>
      <c r="H14" s="15" t="inlineStr">
        <is>
          <t>No</t>
        </is>
      </c>
      <c r="I14" s="15" t="inlineStr"/>
      <c r="J14" s="15" t="inlineStr"/>
      <c r="K14" s="15" t="inlineStr"/>
      <c r="L14" s="15" t="inlineStr">
        <is>
          <t>Recover device - long-term fault, schedule field recovery</t>
        </is>
      </c>
      <c r="M14" s="15" t="inlineStr">
        <is>
          <t>Offline 44.1 day(s); No customer feedback on file</t>
        </is>
      </c>
      <c r="N14" s="15" t="inlineStr">
        <is>
          <t>3b Nkrumah Rd, Kampala, Uganda</t>
        </is>
      </c>
    </row>
    <row r="15">
      <c r="A15" s="15" t="inlineStr">
        <is>
          <t>UA160AZ</t>
        </is>
      </c>
      <c r="B15" s="16" t="inlineStr">
        <is>
          <t>Technical Escalation</t>
        </is>
      </c>
      <c r="C15" s="15" t="inlineStr">
        <is>
          <t>Critical - Long-term Fault</t>
        </is>
      </c>
      <c r="D15" s="15" t="n">
        <v>36</v>
      </c>
      <c r="E15" s="15" t="inlineStr">
        <is>
          <t>N/A</t>
        </is>
      </c>
      <c r="F15" s="15" t="inlineStr">
        <is>
          <t>Offline</t>
        </is>
      </c>
      <c r="G15" s="15" t="inlineStr">
        <is>
          <t>N/A</t>
        </is>
      </c>
      <c r="H15" s="15" t="inlineStr">
        <is>
          <t>No</t>
        </is>
      </c>
      <c r="I15" s="15" t="inlineStr"/>
      <c r="J15" s="15" t="inlineStr"/>
      <c r="K15" s="15" t="inlineStr"/>
      <c r="L15" s="15" t="inlineStr">
        <is>
          <t>Recover device - long-term fault, schedule field recovery</t>
        </is>
      </c>
      <c r="M15" s="15" t="inlineStr">
        <is>
          <t>Offline 36.0 day(s); No customer feedback on file</t>
        </is>
      </c>
      <c r="N15" s="15" t="inlineStr">
        <is>
          <t>Emali, KenyaWF9H+93V, Emali, Kenya</t>
        </is>
      </c>
    </row>
    <row r="16">
      <c r="A16" s="15" t="inlineStr">
        <is>
          <t>UBF663U</t>
        </is>
      </c>
      <c r="B16" s="18" t="inlineStr">
        <is>
          <t>Technical Escalation</t>
        </is>
      </c>
      <c r="C16" s="15" t="inlineStr">
        <is>
          <t>High - Escalate This Week</t>
        </is>
      </c>
      <c r="D16" s="15" t="n">
        <v>21.4</v>
      </c>
      <c r="E16" s="15" t="inlineStr">
        <is>
          <t>Offline</t>
        </is>
      </c>
      <c r="F16" s="15" t="inlineStr">
        <is>
          <t>Offline</t>
        </is>
      </c>
      <c r="G16" s="15" t="inlineStr">
        <is>
          <t>N/A</t>
        </is>
      </c>
      <c r="H16" s="15" t="inlineStr">
        <is>
          <t>No</t>
        </is>
      </c>
      <c r="I16" s="15" t="inlineStr"/>
      <c r="J16" s="15" t="inlineStr"/>
      <c r="K16" s="15" t="inlineStr"/>
      <c r="L16" s="15" t="inlineStr">
        <is>
          <t>Schedule physical inspection this week</t>
        </is>
      </c>
      <c r="M16" s="15" t="inlineStr">
        <is>
          <t>Offline 21.4 day(s); Offline on 2 independent platforms; No customer feedback on file</t>
        </is>
      </c>
      <c r="N16" s="15" t="inlineStr">
        <is>
          <t>Jinja - Kampala Road, Lugazi, Mukono, Central Region, Uganda</t>
        </is>
      </c>
    </row>
    <row r="17">
      <c r="A17" s="15" t="inlineStr">
        <is>
          <t>UBQ539X</t>
        </is>
      </c>
      <c r="B17" s="17" t="inlineStr">
        <is>
          <t>Pending Customer Confirmation</t>
        </is>
      </c>
      <c r="C17" s="15" t="inlineStr">
        <is>
          <t>Awaiting Confirmation</t>
        </is>
      </c>
      <c r="D17" s="15" t="n">
        <v>8.800000000000001</v>
      </c>
      <c r="E17" s="15" t="inlineStr">
        <is>
          <t>Offline</t>
        </is>
      </c>
      <c r="F17" s="15" t="inlineStr">
        <is>
          <t>Online</t>
        </is>
      </c>
      <c r="G17" s="15" t="inlineStr">
        <is>
          <t>N/A</t>
        </is>
      </c>
      <c r="H17" s="15" t="inlineStr">
        <is>
          <t>No</t>
        </is>
      </c>
      <c r="I17" s="15" t="inlineStr"/>
      <c r="J17" s="15" t="inlineStr"/>
      <c r="K17" s="15" t="inlineStr"/>
      <c r="L17" s="15" t="inlineStr">
        <is>
          <t>Schedule physical inspection this week</t>
        </is>
      </c>
      <c r="M17" s="15" t="inlineStr">
        <is>
          <t>Offline 8.8 day(s); No customer feedback on file</t>
        </is>
      </c>
      <c r="N17" s="15" t="inlineStr">
        <is>
          <t>Limuru-Maimahiu Road, Mai Mahiu, Lari/Kirenya, Lari, Kiambu</t>
        </is>
      </c>
    </row>
    <row r="18">
      <c r="A18" s="15" t="inlineStr">
        <is>
          <t>UBF424U</t>
        </is>
      </c>
      <c r="B18" s="18" t="inlineStr">
        <is>
          <t>Technical Escalation</t>
        </is>
      </c>
      <c r="C18" s="15" t="inlineStr">
        <is>
          <t>High - Escalate This Week</t>
        </is>
      </c>
      <c r="D18" s="15" t="n">
        <v>8</v>
      </c>
      <c r="E18" s="15" t="inlineStr">
        <is>
          <t>Offline</t>
        </is>
      </c>
      <c r="F18" s="15" t="inlineStr">
        <is>
          <t>Offline</t>
        </is>
      </c>
      <c r="G18" s="15" t="inlineStr">
        <is>
          <t>N/A</t>
        </is>
      </c>
      <c r="H18" s="15" t="inlineStr">
        <is>
          <t>No</t>
        </is>
      </c>
      <c r="I18" s="15" t="inlineStr"/>
      <c r="J18" s="15" t="inlineStr"/>
      <c r="K18" s="15" t="inlineStr"/>
      <c r="L18" s="15" t="inlineStr">
        <is>
          <t>Schedule physical inspection this week</t>
        </is>
      </c>
      <c r="M18" s="15" t="inlineStr">
        <is>
          <t>Offline 8.0 day(s); Offline on 2 independent platforms; No customer feedback on file</t>
        </is>
      </c>
      <c r="N18" s="15" t="inlineStr">
        <is>
          <t>Butto, Wakiso, Central Region, Uganda</t>
        </is>
      </c>
    </row>
    <row r="19">
      <c r="A19" s="15" t="inlineStr">
        <is>
          <t>UBN586C</t>
        </is>
      </c>
      <c r="B19" s="17" t="inlineStr">
        <is>
          <t>Pending Customer Confirmation</t>
        </is>
      </c>
      <c r="C19" s="15" t="inlineStr">
        <is>
          <t>Awaiting Confirmation</t>
        </is>
      </c>
      <c r="D19" s="15" t="n">
        <v>7.9</v>
      </c>
      <c r="E19" s="15" t="inlineStr">
        <is>
          <t>Online</t>
        </is>
      </c>
      <c r="F19" s="15" t="inlineStr">
        <is>
          <t>Online</t>
        </is>
      </c>
      <c r="G19" s="15" t="inlineStr">
        <is>
          <t>Offline</t>
        </is>
      </c>
      <c r="H19" s="15" t="inlineStr">
        <is>
          <t>No</t>
        </is>
      </c>
      <c r="I19" s="15" t="inlineStr"/>
      <c r="J19" s="15" t="inlineStr"/>
      <c r="K19" s="15" t="inlineStr"/>
      <c r="L19" s="15" t="inlineStr">
        <is>
          <t>Schedule physical inspection this week</t>
        </is>
      </c>
      <c r="M19" s="15" t="inlineStr">
        <is>
          <t>Offline 7.9 day(s); No customer feedback on file</t>
        </is>
      </c>
      <c r="N19" s="15" t="inlineStr">
        <is>
          <t>Nakuru - Eldoret Road, Tendeno/Sorget, Eldama Ravine, Baringo</t>
        </is>
      </c>
    </row>
    <row r="20">
      <c r="A20" s="15" t="inlineStr">
        <is>
          <t>UBQ764P</t>
        </is>
      </c>
      <c r="B20" s="17" t="inlineStr">
        <is>
          <t>Pending Customer Confirmation</t>
        </is>
      </c>
      <c r="C20" s="15" t="inlineStr">
        <is>
          <t>Awaiting Confirmation</t>
        </is>
      </c>
      <c r="D20" s="15" t="n">
        <v>6.9</v>
      </c>
      <c r="E20" s="15" t="inlineStr">
        <is>
          <t>Offline</t>
        </is>
      </c>
      <c r="F20" s="15" t="inlineStr">
        <is>
          <t>Online</t>
        </is>
      </c>
      <c r="G20" s="15" t="inlineStr">
        <is>
          <t>N/A</t>
        </is>
      </c>
      <c r="H20" s="15" t="inlineStr">
        <is>
          <t>No</t>
        </is>
      </c>
      <c r="I20" s="15" t="inlineStr"/>
      <c r="J20" s="15" t="inlineStr"/>
      <c r="K20" s="15" t="inlineStr"/>
      <c r="L20" s="15" t="inlineStr">
        <is>
          <t>Contact customer for status confirmation</t>
        </is>
      </c>
      <c r="M20" s="15" t="inlineStr">
        <is>
          <t>Offline 6.9 day(s); No customer feedback on file</t>
        </is>
      </c>
      <c r="N20" s="15" t="inlineStr">
        <is>
          <t>Mombasa Road, Salama, Kilome, Makueni</t>
        </is>
      </c>
    </row>
    <row r="21">
      <c r="A21" s="15" t="inlineStr">
        <is>
          <t>UBQ541X</t>
        </is>
      </c>
      <c r="B21" s="17" t="inlineStr">
        <is>
          <t>Pending Customer Confirmation</t>
        </is>
      </c>
      <c r="C21" s="15" t="inlineStr">
        <is>
          <t>Awaiting Confirmation</t>
        </is>
      </c>
      <c r="D21" s="15" t="n">
        <v>6.1</v>
      </c>
      <c r="E21" s="15" t="inlineStr">
        <is>
          <t>Offline</t>
        </is>
      </c>
      <c r="F21" s="15" t="inlineStr">
        <is>
          <t>Online</t>
        </is>
      </c>
      <c r="G21" s="15" t="inlineStr">
        <is>
          <t>Online</t>
        </is>
      </c>
      <c r="H21" s="15" t="inlineStr">
        <is>
          <t>No</t>
        </is>
      </c>
      <c r="I21" s="15" t="inlineStr"/>
      <c r="J21" s="15" t="inlineStr"/>
      <c r="K21" s="15" t="inlineStr"/>
      <c r="L21" s="15" t="inlineStr">
        <is>
          <t>Contact customer for status confirmation</t>
        </is>
      </c>
      <c r="M21" s="15" t="inlineStr">
        <is>
          <t>Offline 6.1 day(s); No customer feedback on file</t>
        </is>
      </c>
      <c r="N21" s="15" t="inlineStr">
        <is>
          <t>Nairobi-Nakuru Road, Eburu, Mbaruk/Eburu, Gilgil, Nakuru</t>
        </is>
      </c>
    </row>
    <row r="22">
      <c r="A22" s="15" t="inlineStr">
        <is>
          <t>UBQ756P</t>
        </is>
      </c>
      <c r="B22" s="17" t="inlineStr">
        <is>
          <t>Pending Customer Confirmation</t>
        </is>
      </c>
      <c r="C22" s="15" t="inlineStr">
        <is>
          <t>Awaiting Confirmation</t>
        </is>
      </c>
      <c r="D22" s="15" t="n">
        <v>4.9</v>
      </c>
      <c r="E22" s="15" t="inlineStr">
        <is>
          <t>Offline</t>
        </is>
      </c>
      <c r="F22" s="15" t="inlineStr">
        <is>
          <t>Online</t>
        </is>
      </c>
      <c r="G22" s="15" t="inlineStr">
        <is>
          <t>N/A</t>
        </is>
      </c>
      <c r="H22" s="15" t="inlineStr">
        <is>
          <t>No</t>
        </is>
      </c>
      <c r="I22" s="15" t="inlineStr"/>
      <c r="J22" s="15" t="inlineStr"/>
      <c r="K22" s="15" t="inlineStr"/>
      <c r="L22" s="15" t="inlineStr">
        <is>
          <t>Contact customer for status confirmation</t>
        </is>
      </c>
      <c r="M22" s="15" t="inlineStr">
        <is>
          <t>Offline 4.9 day(s); No customer feedback on file</t>
        </is>
      </c>
      <c r="N22" s="15" t="inlineStr">
        <is>
          <t>Lira - Mbale Road, Namunsi, Mbale City, Bugisa sub-region, Eastern Region, Uganda</t>
        </is>
      </c>
    </row>
    <row r="23">
      <c r="A23" s="15" t="inlineStr">
        <is>
          <t>UBQ542X</t>
        </is>
      </c>
      <c r="B23" s="17" t="inlineStr">
        <is>
          <t>Pending Customer Confirmation</t>
        </is>
      </c>
      <c r="C23" s="15" t="inlineStr">
        <is>
          <t>Awaiting Confirmation</t>
        </is>
      </c>
      <c r="D23" s="15" t="n">
        <v>4.7</v>
      </c>
      <c r="E23" s="15" t="inlineStr">
        <is>
          <t>Offline</t>
        </is>
      </c>
      <c r="F23" s="15" t="inlineStr">
        <is>
          <t>Online</t>
        </is>
      </c>
      <c r="G23" s="15" t="inlineStr">
        <is>
          <t>N/A</t>
        </is>
      </c>
      <c r="H23" s="15" t="inlineStr">
        <is>
          <t>No</t>
        </is>
      </c>
      <c r="I23" s="15" t="inlineStr"/>
      <c r="J23" s="15" t="inlineStr"/>
      <c r="K23" s="15" t="inlineStr"/>
      <c r="L23" s="15" t="inlineStr">
        <is>
          <t>Contact customer for status confirmation</t>
        </is>
      </c>
      <c r="M23" s="15" t="inlineStr">
        <is>
          <t>Offline 4.7 day(s); No customer feedback on file</t>
        </is>
      </c>
      <c r="N23" s="15" t="inlineStr">
        <is>
          <t>Kenya Road, Malaba 'a' South, Tororo, Eastern Region, Uganda</t>
        </is>
      </c>
    </row>
    <row r="24">
      <c r="A24" s="15" t="inlineStr">
        <is>
          <t>KCU042Y</t>
        </is>
      </c>
      <c r="B24" s="19" t="inlineStr">
        <is>
          <t>Technical Escalation</t>
        </is>
      </c>
      <c r="C24" s="15" t="inlineStr">
        <is>
          <t>Elevated - Monitor</t>
        </is>
      </c>
      <c r="D24" s="15" t="n">
        <v>3</v>
      </c>
      <c r="E24" s="15" t="inlineStr">
        <is>
          <t>N/A</t>
        </is>
      </c>
      <c r="F24" s="15" t="inlineStr">
        <is>
          <t>Offline</t>
        </is>
      </c>
      <c r="G24" s="15" t="inlineStr">
        <is>
          <t>N/A</t>
        </is>
      </c>
      <c r="H24" s="15" t="inlineStr">
        <is>
          <t>No</t>
        </is>
      </c>
      <c r="I24" s="15" t="inlineStr"/>
      <c r="J24" s="15" t="inlineStr"/>
      <c r="K24" s="15" t="inlineStr"/>
      <c r="L24" s="15" t="inlineStr">
        <is>
          <t>Contact customer for status confirmation</t>
        </is>
      </c>
      <c r="M24" s="15" t="inlineStr">
        <is>
          <t>Offline 3.0 day(s); No customer feedback on file</t>
        </is>
      </c>
      <c r="N24" s="15" t="inlineStr">
        <is>
          <t>Mombasa, KenyaXJ68+7VR, Mombasa, Kenya</t>
        </is>
      </c>
    </row>
    <row r="25">
      <c r="A25" s="15" t="inlineStr">
        <is>
          <t>UBQ543X</t>
        </is>
      </c>
      <c r="B25" s="17" t="inlineStr">
        <is>
          <t>Pending Customer Confirmation</t>
        </is>
      </c>
      <c r="C25" s="15" t="inlineStr">
        <is>
          <t>Awaiting Confirmation</t>
        </is>
      </c>
      <c r="D25" s="15" t="n">
        <v>2.3</v>
      </c>
      <c r="E25" s="15" t="inlineStr">
        <is>
          <t>N/A</t>
        </is>
      </c>
      <c r="F25" s="15" t="inlineStr">
        <is>
          <t>Online</t>
        </is>
      </c>
      <c r="G25" s="15" t="inlineStr">
        <is>
          <t>Offline</t>
        </is>
      </c>
      <c r="H25" s="15" t="inlineStr">
        <is>
          <t>No</t>
        </is>
      </c>
      <c r="I25" s="15" t="inlineStr"/>
      <c r="J25" s="15" t="inlineStr"/>
      <c r="K25" s="15" t="inlineStr"/>
      <c r="L25" s="15" t="inlineStr">
        <is>
          <t>Contact customer for status confirmation</t>
        </is>
      </c>
      <c r="M25" s="15" t="inlineStr">
        <is>
          <t>Offline 2.3 day(s); No customer feedback on file</t>
        </is>
      </c>
      <c r="N25" s="15" t="inlineStr">
        <is>
          <t>Soroti- Dokolo Road, Uganda</t>
        </is>
      </c>
    </row>
    <row r="26">
      <c r="A26" s="15" t="inlineStr">
        <is>
          <t>UBN593C</t>
        </is>
      </c>
      <c r="B26" s="19" t="inlineStr">
        <is>
          <t>Technical Escalation</t>
        </is>
      </c>
      <c r="C26" s="15" t="inlineStr">
        <is>
          <t>Elevated - Monitor</t>
        </is>
      </c>
      <c r="D26" s="15" t="n">
        <v>2.2</v>
      </c>
      <c r="E26" s="15" t="inlineStr">
        <is>
          <t>Offline</t>
        </is>
      </c>
      <c r="F26" s="15" t="inlineStr">
        <is>
          <t>Offline</t>
        </is>
      </c>
      <c r="G26" s="15" t="inlineStr">
        <is>
          <t>N/A</t>
        </is>
      </c>
      <c r="H26" s="20" t="inlineStr">
        <is>
          <t>Yes</t>
        </is>
      </c>
      <c r="I26" s="15" t="inlineStr">
        <is>
          <t>Malaba (Kenya/Uganda)</t>
        </is>
      </c>
      <c r="J26" s="15" t="n">
        <v>0.8</v>
      </c>
      <c r="K26" s="15" t="inlineStr"/>
      <c r="L26" s="15" t="inlineStr">
        <is>
          <t>Immediate escalation - possible cross-border loss</t>
        </is>
      </c>
      <c r="M26" s="15" t="inlineStr">
        <is>
          <t>Offline 2.2 day(s); Offline on 2 independent platforms; Last known position near a high-incident border crossing; No customer feedback on file</t>
        </is>
      </c>
      <c r="N26" s="15" t="inlineStr">
        <is>
          <t>Kenya Road, Malaba 'a' South, Tororo, Eastern Region, Uganda</t>
        </is>
      </c>
    </row>
    <row r="27">
      <c r="A27" s="15" t="inlineStr">
        <is>
          <t>UBN601C</t>
        </is>
      </c>
      <c r="B27" s="19" t="inlineStr">
        <is>
          <t>Technical Escalation</t>
        </is>
      </c>
      <c r="C27" s="15" t="inlineStr">
        <is>
          <t>Elevated - Monitor</t>
        </is>
      </c>
      <c r="D27" s="15" t="n">
        <v>2.1</v>
      </c>
      <c r="E27" s="15" t="inlineStr">
        <is>
          <t>Offline</t>
        </is>
      </c>
      <c r="F27" s="15" t="inlineStr">
        <is>
          <t>Offline</t>
        </is>
      </c>
      <c r="G27" s="15" t="inlineStr">
        <is>
          <t>N/A</t>
        </is>
      </c>
      <c r="H27" s="15" t="inlineStr">
        <is>
          <t>No</t>
        </is>
      </c>
      <c r="I27" s="15" t="inlineStr"/>
      <c r="J27" s="15" t="inlineStr"/>
      <c r="K27" s="15" t="inlineStr"/>
      <c r="L27" s="15" t="inlineStr">
        <is>
          <t>Contact customer for status confirmation</t>
        </is>
      </c>
      <c r="M27" s="15" t="inlineStr">
        <is>
          <t>Offline 2.1 day(s); Offline on 2 independent platforms; No customer feedback on file</t>
        </is>
      </c>
      <c r="N27" s="15" t="inlineStr">
        <is>
          <t>Mikanjuni, Jomvu, Jomvu Kuu, Mombasa</t>
        </is>
      </c>
    </row>
    <row r="28">
      <c r="A28" s="15" t="inlineStr">
        <is>
          <t>UBE421W</t>
        </is>
      </c>
      <c r="B28" s="19" t="inlineStr">
        <is>
          <t>Technical Escalation</t>
        </is>
      </c>
      <c r="C28" s="15" t="inlineStr">
        <is>
          <t>Elevated - Monitor</t>
        </is>
      </c>
      <c r="D28" s="15" t="n">
        <v>2.1</v>
      </c>
      <c r="E28" s="15" t="inlineStr">
        <is>
          <t>N/A</t>
        </is>
      </c>
      <c r="F28" s="15" t="inlineStr">
        <is>
          <t>Offline</t>
        </is>
      </c>
      <c r="G28" s="15" t="inlineStr">
        <is>
          <t>N/A</t>
        </is>
      </c>
      <c r="H28" s="15" t="inlineStr">
        <is>
          <t>No</t>
        </is>
      </c>
      <c r="I28" s="15" t="inlineStr"/>
      <c r="J28" s="15" t="inlineStr"/>
      <c r="K28" s="15" t="inlineStr"/>
      <c r="L28" s="15" t="inlineStr">
        <is>
          <t>Contact customer for status confirmation</t>
        </is>
      </c>
      <c r="M28" s="15" t="inlineStr">
        <is>
          <t>Offline 2.1 day(s); No customer feedback on file</t>
        </is>
      </c>
      <c r="N28" s="15" t="inlineStr">
        <is>
          <t>Tilenga, BuliisaUnnamed Road, Uganda</t>
        </is>
      </c>
    </row>
    <row r="29">
      <c r="A29" s="15" t="inlineStr">
        <is>
          <t>UBF698U</t>
        </is>
      </c>
      <c r="B29" s="17" t="inlineStr">
        <is>
          <t>Pending Customer Confirmation</t>
        </is>
      </c>
      <c r="C29" s="15" t="inlineStr">
        <is>
          <t>Awaiting Confirmation</t>
        </is>
      </c>
      <c r="D29" s="15" t="n">
        <v>2</v>
      </c>
      <c r="E29" s="15" t="inlineStr">
        <is>
          <t>Online</t>
        </is>
      </c>
      <c r="F29" s="15" t="inlineStr">
        <is>
          <t>Offline</t>
        </is>
      </c>
      <c r="G29" s="15" t="inlineStr">
        <is>
          <t>N/A</t>
        </is>
      </c>
      <c r="H29" s="15" t="inlineStr">
        <is>
          <t>No</t>
        </is>
      </c>
      <c r="I29" s="15" t="inlineStr"/>
      <c r="J29" s="15" t="inlineStr"/>
      <c r="K29" s="15" t="inlineStr"/>
      <c r="L29" s="15" t="inlineStr">
        <is>
          <t>Contact customer for status confirmation</t>
        </is>
      </c>
      <c r="M29" s="15" t="inlineStr">
        <is>
          <t>Offline 2.0 day(s); No customer feedback on file</t>
        </is>
      </c>
      <c r="N29" s="15" t="inlineStr">
        <is>
          <t>lilongwe, Airport, Changamwe, Mombasa</t>
        </is>
      </c>
    </row>
    <row r="30">
      <c r="A30" s="15" t="inlineStr">
        <is>
          <t>UBQ432U</t>
        </is>
      </c>
      <c r="B30" s="21" t="inlineStr">
        <is>
          <t>Online</t>
        </is>
      </c>
      <c r="C30" s="15" t="inlineStr">
        <is>
          <t>-</t>
        </is>
      </c>
      <c r="D30" s="15" t="n">
        <v>0</v>
      </c>
      <c r="E30" s="15" t="inlineStr">
        <is>
          <t>Online</t>
        </is>
      </c>
      <c r="F30" s="15" t="inlineStr">
        <is>
          <t>Online</t>
        </is>
      </c>
      <c r="G30" s="15" t="inlineStr">
        <is>
          <t>N/A</t>
        </is>
      </c>
      <c r="H30" s="15" t="inlineStr">
        <is>
          <t>No</t>
        </is>
      </c>
      <c r="I30" s="15" t="inlineStr"/>
      <c r="J30" s="15" t="inlineStr"/>
      <c r="K30" s="15" t="inlineStr"/>
      <c r="L30" s="15" t="inlineStr">
        <is>
          <t>None</t>
        </is>
      </c>
      <c r="M30" s="15" t="inlineStr">
        <is>
          <t>Reporting normally on all platforms</t>
        </is>
      </c>
      <c r="N30" s="15" t="inlineStr">
        <is>
          <t>Lira - Mbale Road, Apapai, Kalaki, Eastern Region, Uganda</t>
        </is>
      </c>
    </row>
    <row r="31">
      <c r="A31" s="15" t="inlineStr">
        <is>
          <t>UBF914F</t>
        </is>
      </c>
      <c r="B31" s="21" t="inlineStr">
        <is>
          <t>Online</t>
        </is>
      </c>
      <c r="C31" s="15" t="inlineStr">
        <is>
          <t>-</t>
        </is>
      </c>
      <c r="D31" s="15" t="n">
        <v>0</v>
      </c>
      <c r="E31" s="15" t="inlineStr">
        <is>
          <t>Online</t>
        </is>
      </c>
      <c r="F31" s="15" t="inlineStr">
        <is>
          <t>N/A</t>
        </is>
      </c>
      <c r="G31" s="15" t="inlineStr">
        <is>
          <t>N/A</t>
        </is>
      </c>
      <c r="H31" s="15" t="inlineStr">
        <is>
          <t>No</t>
        </is>
      </c>
      <c r="I31" s="15" t="inlineStr"/>
      <c r="J31" s="15" t="inlineStr"/>
      <c r="K31" s="15" t="inlineStr"/>
      <c r="L31" s="15" t="inlineStr">
        <is>
          <t>None</t>
        </is>
      </c>
      <c r="M31" s="15" t="inlineStr">
        <is>
          <t>Reporting normally on all platforms</t>
        </is>
      </c>
      <c r="N31" s="15" t="inlineStr">
        <is>
          <t>Jinja - Kampala Road, Seeta, Mukono, Central Region, Uganda</t>
        </is>
      </c>
    </row>
    <row r="32">
      <c r="A32" s="15" t="inlineStr">
        <is>
          <t>UBN599C</t>
        </is>
      </c>
      <c r="B32" s="21" t="inlineStr">
        <is>
          <t>Online</t>
        </is>
      </c>
      <c r="C32" s="15" t="inlineStr">
        <is>
          <t>-</t>
        </is>
      </c>
      <c r="D32" s="15" t="n">
        <v>0</v>
      </c>
      <c r="E32" s="15" t="inlineStr">
        <is>
          <t>Online</t>
        </is>
      </c>
      <c r="F32" s="15" t="inlineStr">
        <is>
          <t>Online</t>
        </is>
      </c>
      <c r="G32" s="15" t="inlineStr">
        <is>
          <t>Online</t>
        </is>
      </c>
      <c r="H32" s="15" t="inlineStr">
        <is>
          <t>No</t>
        </is>
      </c>
      <c r="I32" s="15" t="inlineStr"/>
      <c r="J32" s="15" t="inlineStr"/>
      <c r="K32" s="15" t="inlineStr"/>
      <c r="L32" s="15" t="inlineStr">
        <is>
          <t>None</t>
        </is>
      </c>
      <c r="M32" s="15" t="inlineStr">
        <is>
          <t>Reporting normally on all platforms</t>
        </is>
      </c>
      <c r="N32" s="15" t="inlineStr">
        <is>
          <t>Kipevu Road, Mombasa Port, Kipevu, Changamwe, Mombasa</t>
        </is>
      </c>
    </row>
    <row r="33">
      <c r="A33" s="15" t="inlineStr">
        <is>
          <t>UBF765U</t>
        </is>
      </c>
      <c r="B33" s="21" t="inlineStr">
        <is>
          <t>Online</t>
        </is>
      </c>
      <c r="C33" s="15" t="inlineStr">
        <is>
          <t>-</t>
        </is>
      </c>
      <c r="D33" s="15" t="n">
        <v>0</v>
      </c>
      <c r="E33" s="15" t="inlineStr">
        <is>
          <t>Online</t>
        </is>
      </c>
      <c r="F33" s="15" t="inlineStr">
        <is>
          <t>Online</t>
        </is>
      </c>
      <c r="G33" s="15" t="inlineStr">
        <is>
          <t>N/A</t>
        </is>
      </c>
      <c r="H33" s="15" t="inlineStr">
        <is>
          <t>No</t>
        </is>
      </c>
      <c r="I33" s="15" t="inlineStr"/>
      <c r="J33" s="15" t="inlineStr"/>
      <c r="K33" s="15" t="inlineStr"/>
      <c r="L33" s="15" t="inlineStr">
        <is>
          <t>None</t>
        </is>
      </c>
      <c r="M33" s="15" t="inlineStr">
        <is>
          <t>Reporting normally on all platforms</t>
        </is>
      </c>
      <c r="N33" s="15" t="inlineStr">
        <is>
          <t>Mombasa Road, Kambu, Kibwezi East, Makueni</t>
        </is>
      </c>
    </row>
    <row r="34">
      <c r="A34" s="15" t="inlineStr">
        <is>
          <t>UBQ758P</t>
        </is>
      </c>
      <c r="B34" s="21" t="inlineStr">
        <is>
          <t>Online</t>
        </is>
      </c>
      <c r="C34" s="15" t="inlineStr">
        <is>
          <t>-</t>
        </is>
      </c>
      <c r="D34" s="15" t="n">
        <v>0</v>
      </c>
      <c r="E34" s="15" t="inlineStr">
        <is>
          <t>Online</t>
        </is>
      </c>
      <c r="F34" s="15" t="inlineStr">
        <is>
          <t>Online</t>
        </is>
      </c>
      <c r="G34" s="15" t="inlineStr">
        <is>
          <t>N/A</t>
        </is>
      </c>
      <c r="H34" s="15" t="inlineStr">
        <is>
          <t>No</t>
        </is>
      </c>
      <c r="I34" s="15" t="inlineStr"/>
      <c r="J34" s="15" t="inlineStr"/>
      <c r="K34" s="15" t="inlineStr"/>
      <c r="L34" s="15" t="inlineStr">
        <is>
          <t>None</t>
        </is>
      </c>
      <c r="M34" s="15" t="inlineStr">
        <is>
          <t>Reporting normally on all platforms</t>
        </is>
      </c>
      <c r="N34" s="15" t="inlineStr">
        <is>
          <t>Lira - Mbale Road, Cell F, Soroti City, Eastern Region, Uganda</t>
        </is>
      </c>
    </row>
    <row r="35">
      <c r="A35" s="15" t="inlineStr">
        <is>
          <t>UBF505U</t>
        </is>
      </c>
      <c r="B35" s="21" t="inlineStr">
        <is>
          <t>Online</t>
        </is>
      </c>
      <c r="C35" s="15" t="inlineStr">
        <is>
          <t>-</t>
        </is>
      </c>
      <c r="D35" s="15" t="n">
        <v>0</v>
      </c>
      <c r="E35" s="15" t="inlineStr">
        <is>
          <t>Online</t>
        </is>
      </c>
      <c r="F35" s="15" t="inlineStr">
        <is>
          <t>Online</t>
        </is>
      </c>
      <c r="G35" s="15" t="inlineStr">
        <is>
          <t>N/A</t>
        </is>
      </c>
      <c r="H35" s="15" t="inlineStr">
        <is>
          <t>No</t>
        </is>
      </c>
      <c r="I35" s="15" t="inlineStr"/>
      <c r="J35" s="15" t="inlineStr"/>
      <c r="K35" s="15" t="inlineStr"/>
      <c r="L35" s="15" t="inlineStr">
        <is>
          <t>None</t>
        </is>
      </c>
      <c r="M35" s="15" t="inlineStr">
        <is>
          <t>Reporting normally on all platforms</t>
        </is>
      </c>
      <c r="N35" s="15" t="inlineStr">
        <is>
          <t>Nakuru - Eldoret Road, Tendeno/Sorget, Kipkelion East, Kericho</t>
        </is>
      </c>
    </row>
    <row r="36">
      <c r="A36" s="15" t="inlineStr">
        <is>
          <t>UBF492U</t>
        </is>
      </c>
      <c r="B36" s="21" t="inlineStr">
        <is>
          <t>Online</t>
        </is>
      </c>
      <c r="C36" s="15" t="inlineStr">
        <is>
          <t>-</t>
        </is>
      </c>
      <c r="D36" s="15" t="n">
        <v>0</v>
      </c>
      <c r="E36" s="15" t="inlineStr">
        <is>
          <t>Online</t>
        </is>
      </c>
      <c r="F36" s="15" t="inlineStr">
        <is>
          <t>Online</t>
        </is>
      </c>
      <c r="G36" s="15" t="inlineStr">
        <is>
          <t>N/A</t>
        </is>
      </c>
      <c r="H36" s="15" t="inlineStr">
        <is>
          <t>No</t>
        </is>
      </c>
      <c r="I36" s="15" t="inlineStr"/>
      <c r="J36" s="15" t="inlineStr"/>
      <c r="K36" s="15" t="inlineStr"/>
      <c r="L36" s="15" t="inlineStr">
        <is>
          <t>None</t>
        </is>
      </c>
      <c r="M36" s="15" t="inlineStr">
        <is>
          <t>Reporting normally on all platforms</t>
        </is>
      </c>
      <c r="N36" s="15" t="inlineStr">
        <is>
          <t>Hoima - Kampala Road, Munsambya, Kyankwanzi, Central Region, Uganda</t>
        </is>
      </c>
    </row>
    <row r="37">
      <c r="A37" s="15" t="inlineStr">
        <is>
          <t>UBF661U</t>
        </is>
      </c>
      <c r="B37" s="21" t="inlineStr">
        <is>
          <t>Online</t>
        </is>
      </c>
      <c r="C37" s="15" t="inlineStr">
        <is>
          <t>-</t>
        </is>
      </c>
      <c r="D37" s="15" t="n">
        <v>0</v>
      </c>
      <c r="E37" s="15" t="inlineStr">
        <is>
          <t>Online</t>
        </is>
      </c>
      <c r="F37" s="15" t="inlineStr">
        <is>
          <t>Online</t>
        </is>
      </c>
      <c r="G37" s="15" t="inlineStr">
        <is>
          <t>N/A</t>
        </is>
      </c>
      <c r="H37" s="15" t="inlineStr">
        <is>
          <t>No</t>
        </is>
      </c>
      <c r="I37" s="15" t="inlineStr"/>
      <c r="J37" s="15" t="inlineStr"/>
      <c r="K37" s="15" t="inlineStr"/>
      <c r="L37" s="15" t="inlineStr">
        <is>
          <t>None</t>
        </is>
      </c>
      <c r="M37" s="15" t="inlineStr">
        <is>
          <t>Reporting normally on all platforms</t>
        </is>
      </c>
      <c r="N37" s="15" t="inlineStr">
        <is>
          <t>Mombasa Road, Makindu, Kibwezi West, Makueni</t>
        </is>
      </c>
    </row>
    <row r="38">
      <c r="A38" s="15" t="inlineStr">
        <is>
          <t>UBN598C</t>
        </is>
      </c>
      <c r="B38" s="21" t="inlineStr">
        <is>
          <t>Online</t>
        </is>
      </c>
      <c r="C38" s="15" t="inlineStr">
        <is>
          <t>-</t>
        </is>
      </c>
      <c r="D38" s="15" t="n">
        <v>0</v>
      </c>
      <c r="E38" s="15" t="inlineStr">
        <is>
          <t>Online</t>
        </is>
      </c>
      <c r="F38" s="15" t="inlineStr">
        <is>
          <t>Online</t>
        </is>
      </c>
      <c r="G38" s="15" t="inlineStr">
        <is>
          <t>N/A</t>
        </is>
      </c>
      <c r="H38" s="15" t="inlineStr">
        <is>
          <t>No</t>
        </is>
      </c>
      <c r="I38" s="15" t="inlineStr"/>
      <c r="J38" s="15" t="inlineStr"/>
      <c r="K38" s="15" t="inlineStr"/>
      <c r="L38" s="15" t="inlineStr">
        <is>
          <t>None</t>
        </is>
      </c>
      <c r="M38" s="15" t="inlineStr">
        <is>
          <t>Reporting normally on all platforms</t>
        </is>
      </c>
      <c r="N38" s="15" t="inlineStr">
        <is>
          <t>Kamdini-Lira Road, Oyam, Northern Region, Uganda</t>
        </is>
      </c>
    </row>
    <row r="39">
      <c r="A39" s="15" t="inlineStr">
        <is>
          <t>UBQ540X</t>
        </is>
      </c>
      <c r="B39" s="21" t="inlineStr">
        <is>
          <t>Online</t>
        </is>
      </c>
      <c r="C39" s="15" t="inlineStr">
        <is>
          <t>-</t>
        </is>
      </c>
      <c r="D39" s="15" t="n">
        <v>0</v>
      </c>
      <c r="E39" s="15" t="inlineStr">
        <is>
          <t>Online</t>
        </is>
      </c>
      <c r="F39" s="15" t="inlineStr">
        <is>
          <t>Online</t>
        </is>
      </c>
      <c r="G39" s="15" t="inlineStr">
        <is>
          <t>N/A</t>
        </is>
      </c>
      <c r="H39" s="15" t="inlineStr">
        <is>
          <t>No</t>
        </is>
      </c>
      <c r="I39" s="15" t="inlineStr"/>
      <c r="J39" s="15" t="inlineStr"/>
      <c r="K39" s="15" t="inlineStr"/>
      <c r="L39" s="15" t="inlineStr">
        <is>
          <t>None</t>
        </is>
      </c>
      <c r="M39" s="15" t="inlineStr">
        <is>
          <t>Reporting normally on all platforms</t>
        </is>
      </c>
      <c r="N39" s="15" t="inlineStr">
        <is>
          <t>Bonje, Kasemeni, Kinango, Kwale</t>
        </is>
      </c>
    </row>
    <row r="40">
      <c r="A40" s="15" t="inlineStr">
        <is>
          <t>UBQ374Q</t>
        </is>
      </c>
      <c r="B40" s="21" t="inlineStr">
        <is>
          <t>Online</t>
        </is>
      </c>
      <c r="C40" s="15" t="inlineStr">
        <is>
          <t>-</t>
        </is>
      </c>
      <c r="D40" s="15" t="n">
        <v>0</v>
      </c>
      <c r="E40" s="15" t="inlineStr">
        <is>
          <t>Online</t>
        </is>
      </c>
      <c r="F40" s="15" t="inlineStr">
        <is>
          <t>Online</t>
        </is>
      </c>
      <c r="G40" s="15" t="inlineStr">
        <is>
          <t>N/A</t>
        </is>
      </c>
      <c r="H40" s="15" t="inlineStr">
        <is>
          <t>No</t>
        </is>
      </c>
      <c r="I40" s="15" t="inlineStr"/>
      <c r="J40" s="15" t="inlineStr"/>
      <c r="K40" s="15" t="inlineStr"/>
      <c r="L40" s="15" t="inlineStr">
        <is>
          <t>None</t>
        </is>
      </c>
      <c r="M40" s="15" t="inlineStr">
        <is>
          <t>Reporting normally on all platforms</t>
        </is>
      </c>
      <c r="N40" s="15" t="inlineStr">
        <is>
          <t>Mombasa Road, Kambu, Kibwezi East, Makueni</t>
        </is>
      </c>
    </row>
    <row r="41">
      <c r="A41" s="15" t="inlineStr">
        <is>
          <t>UBF494U</t>
        </is>
      </c>
      <c r="B41" s="21" t="inlineStr">
        <is>
          <t>Online</t>
        </is>
      </c>
      <c r="C41" s="15" t="inlineStr">
        <is>
          <t>-</t>
        </is>
      </c>
      <c r="D41" s="15" t="n">
        <v>0</v>
      </c>
      <c r="E41" s="15" t="inlineStr">
        <is>
          <t>Online</t>
        </is>
      </c>
      <c r="F41" s="15" t="inlineStr">
        <is>
          <t>Online</t>
        </is>
      </c>
      <c r="G41" s="15" t="inlineStr">
        <is>
          <t>N/A</t>
        </is>
      </c>
      <c r="H41" s="15" t="inlineStr">
        <is>
          <t>No</t>
        </is>
      </c>
      <c r="I41" s="15" t="inlineStr"/>
      <c r="J41" s="15" t="inlineStr"/>
      <c r="K41" s="15" t="inlineStr"/>
      <c r="L41" s="15" t="inlineStr">
        <is>
          <t>None</t>
        </is>
      </c>
      <c r="M41" s="15" t="inlineStr">
        <is>
          <t>Reporting normally on all platforms</t>
        </is>
      </c>
      <c r="N41" s="15" t="inlineStr">
        <is>
          <t>Mombasa Road, Kambu, Kibwezi East, Makueni</t>
        </is>
      </c>
    </row>
    <row r="42">
      <c r="A42" s="15" t="inlineStr">
        <is>
          <t>UBF495U</t>
        </is>
      </c>
      <c r="B42" s="21" t="inlineStr">
        <is>
          <t>Online</t>
        </is>
      </c>
      <c r="C42" s="15" t="inlineStr">
        <is>
          <t>-</t>
        </is>
      </c>
      <c r="D42" s="15" t="n">
        <v>0</v>
      </c>
      <c r="E42" s="15" t="inlineStr">
        <is>
          <t>Online</t>
        </is>
      </c>
      <c r="F42" s="15" t="inlineStr">
        <is>
          <t>Online</t>
        </is>
      </c>
      <c r="G42" s="15" t="inlineStr">
        <is>
          <t>N/A</t>
        </is>
      </c>
      <c r="H42" s="15" t="inlineStr">
        <is>
          <t>No</t>
        </is>
      </c>
      <c r="I42" s="15" t="inlineStr"/>
      <c r="J42" s="15" t="inlineStr"/>
      <c r="K42" s="15" t="inlineStr"/>
      <c r="L42" s="15" t="inlineStr">
        <is>
          <t>None</t>
        </is>
      </c>
      <c r="M42" s="15" t="inlineStr">
        <is>
          <t>Reporting normally on all platforms</t>
        </is>
      </c>
      <c r="N42" s="15" t="inlineStr">
        <is>
          <t>Kipevu Road, Mombasa Port, Kipevu, Changamwe, Mombasa</t>
        </is>
      </c>
    </row>
    <row r="43">
      <c r="A43" s="15" t="inlineStr">
        <is>
          <t>UBN588C</t>
        </is>
      </c>
      <c r="B43" s="21" t="inlineStr">
        <is>
          <t>Online</t>
        </is>
      </c>
      <c r="C43" s="15" t="inlineStr">
        <is>
          <t>-</t>
        </is>
      </c>
      <c r="D43" s="15" t="n">
        <v>0</v>
      </c>
      <c r="E43" s="15" t="inlineStr">
        <is>
          <t>Online</t>
        </is>
      </c>
      <c r="F43" s="15" t="inlineStr">
        <is>
          <t>Online</t>
        </is>
      </c>
      <c r="G43" s="15" t="inlineStr">
        <is>
          <t>N/A</t>
        </is>
      </c>
      <c r="H43" s="15" t="inlineStr">
        <is>
          <t>No</t>
        </is>
      </c>
      <c r="I43" s="15" t="inlineStr"/>
      <c r="J43" s="15" t="inlineStr"/>
      <c r="K43" s="15" t="inlineStr"/>
      <c r="L43" s="15" t="inlineStr">
        <is>
          <t>None</t>
        </is>
      </c>
      <c r="M43" s="15" t="inlineStr">
        <is>
          <t>Reporting normally on all platforms</t>
        </is>
      </c>
      <c r="N43" s="15" t="inlineStr">
        <is>
          <t>Kooki Street, Cinema, Masaka City, Central Region, Uganda</t>
        </is>
      </c>
    </row>
    <row r="44">
      <c r="A44" s="15" t="inlineStr">
        <is>
          <t>UBF524U</t>
        </is>
      </c>
      <c r="B44" s="21" t="inlineStr">
        <is>
          <t>Online</t>
        </is>
      </c>
      <c r="C44" s="15" t="inlineStr">
        <is>
          <t>-</t>
        </is>
      </c>
      <c r="D44" s="15" t="n">
        <v>0</v>
      </c>
      <c r="E44" s="15" t="inlineStr">
        <is>
          <t>Online</t>
        </is>
      </c>
      <c r="F44" s="15" t="inlineStr">
        <is>
          <t>Online</t>
        </is>
      </c>
      <c r="G44" s="15" t="inlineStr">
        <is>
          <t>N/A</t>
        </is>
      </c>
      <c r="H44" s="15" t="inlineStr">
        <is>
          <t>No</t>
        </is>
      </c>
      <c r="I44" s="15" t="inlineStr"/>
      <c r="J44" s="15" t="inlineStr"/>
      <c r="K44" s="15" t="inlineStr"/>
      <c r="L44" s="15" t="inlineStr">
        <is>
          <t>None</t>
        </is>
      </c>
      <c r="M44" s="15" t="inlineStr">
        <is>
          <t>Reporting normally on all platforms</t>
        </is>
      </c>
      <c r="N44" s="15" t="inlineStr">
        <is>
          <t>A8;R2, Zambezi, Sigona, Kikuyu, Kiambu</t>
        </is>
      </c>
    </row>
    <row r="45">
      <c r="A45" s="15" t="inlineStr">
        <is>
          <t>UBQ537X</t>
        </is>
      </c>
      <c r="B45" s="21" t="inlineStr">
        <is>
          <t>Online</t>
        </is>
      </c>
      <c r="C45" s="15" t="inlineStr">
        <is>
          <t>-</t>
        </is>
      </c>
      <c r="D45" s="15" t="n">
        <v>0</v>
      </c>
      <c r="E45" s="15" t="inlineStr">
        <is>
          <t>Online</t>
        </is>
      </c>
      <c r="F45" s="15" t="inlineStr">
        <is>
          <t>Online</t>
        </is>
      </c>
      <c r="G45" s="15" t="inlineStr">
        <is>
          <t>Online</t>
        </is>
      </c>
      <c r="H45" s="15" t="inlineStr">
        <is>
          <t>No</t>
        </is>
      </c>
      <c r="I45" s="15" t="inlineStr"/>
      <c r="J45" s="15" t="inlineStr"/>
      <c r="K45" s="15" t="inlineStr"/>
      <c r="L45" s="15" t="inlineStr">
        <is>
          <t>None</t>
        </is>
      </c>
      <c r="M45" s="15" t="inlineStr">
        <is>
          <t>Reporting normally on all platforms</t>
        </is>
      </c>
      <c r="N45" s="15" t="inlineStr">
        <is>
          <t>Namanve, Kireku Railway, Wakiso, Central Region, Uganda</t>
        </is>
      </c>
    </row>
    <row r="46">
      <c r="A46" s="15" t="inlineStr">
        <is>
          <t>UBF694U</t>
        </is>
      </c>
      <c r="B46" s="21" t="inlineStr">
        <is>
          <t>Online</t>
        </is>
      </c>
      <c r="C46" s="15" t="inlineStr">
        <is>
          <t>-</t>
        </is>
      </c>
      <c r="D46" s="15" t="n">
        <v>0</v>
      </c>
      <c r="E46" s="15" t="inlineStr">
        <is>
          <t>Online</t>
        </is>
      </c>
      <c r="F46" s="15" t="inlineStr">
        <is>
          <t>Online</t>
        </is>
      </c>
      <c r="G46" s="15" t="inlineStr">
        <is>
          <t>N/A</t>
        </is>
      </c>
      <c r="H46" s="15" t="inlineStr">
        <is>
          <t>No</t>
        </is>
      </c>
      <c r="I46" s="15" t="inlineStr"/>
      <c r="J46" s="15" t="inlineStr"/>
      <c r="K46" s="15" t="inlineStr"/>
      <c r="L46" s="15" t="inlineStr">
        <is>
          <t>None</t>
        </is>
      </c>
      <c r="M46" s="15" t="inlineStr">
        <is>
          <t>Reporting normally on all platforms</t>
        </is>
      </c>
      <c r="N46" s="15" t="inlineStr">
        <is>
          <t>Mombasa Road, Mariakani, Kaloleni, Kilifi</t>
        </is>
      </c>
    </row>
    <row r="47">
      <c r="A47" s="15" t="inlineStr">
        <is>
          <t>UBQ429U</t>
        </is>
      </c>
      <c r="B47" s="21" t="inlineStr">
        <is>
          <t>Online</t>
        </is>
      </c>
      <c r="C47" s="15" t="inlineStr">
        <is>
          <t>-</t>
        </is>
      </c>
      <c r="D47" s="15" t="n">
        <v>0</v>
      </c>
      <c r="E47" s="15" t="inlineStr">
        <is>
          <t>Online</t>
        </is>
      </c>
      <c r="F47" s="15" t="inlineStr">
        <is>
          <t>Online</t>
        </is>
      </c>
      <c r="G47" s="15" t="inlineStr">
        <is>
          <t>Online</t>
        </is>
      </c>
      <c r="H47" s="15" t="inlineStr">
        <is>
          <t>No</t>
        </is>
      </c>
      <c r="I47" s="15" t="inlineStr"/>
      <c r="J47" s="15" t="inlineStr"/>
      <c r="K47" s="15" t="inlineStr"/>
      <c r="L47" s="15" t="inlineStr">
        <is>
          <t>None</t>
        </is>
      </c>
      <c r="M47" s="15" t="inlineStr">
        <is>
          <t>Reporting normally on all platforms</t>
        </is>
      </c>
      <c r="N47" s="15" t="inlineStr">
        <is>
          <t>Butto, Wakiso, Central Region, Uganda</t>
        </is>
      </c>
    </row>
    <row r="48">
      <c r="A48" s="15" t="inlineStr">
        <is>
          <t>UBF425U</t>
        </is>
      </c>
      <c r="B48" s="21" t="inlineStr">
        <is>
          <t>Online</t>
        </is>
      </c>
      <c r="C48" s="15" t="inlineStr">
        <is>
          <t>-</t>
        </is>
      </c>
      <c r="D48" s="15" t="n">
        <v>0</v>
      </c>
      <c r="E48" s="15" t="inlineStr">
        <is>
          <t>Online</t>
        </is>
      </c>
      <c r="F48" s="15" t="inlineStr">
        <is>
          <t>Online</t>
        </is>
      </c>
      <c r="G48" s="15" t="inlineStr">
        <is>
          <t>N/A</t>
        </is>
      </c>
      <c r="H48" s="15" t="inlineStr">
        <is>
          <t>No</t>
        </is>
      </c>
      <c r="I48" s="15" t="inlineStr"/>
      <c r="J48" s="15" t="inlineStr"/>
      <c r="K48" s="15" t="inlineStr"/>
      <c r="L48" s="15" t="inlineStr">
        <is>
          <t>None</t>
        </is>
      </c>
      <c r="M48" s="15" t="inlineStr">
        <is>
          <t>Reporting normally on all platforms</t>
        </is>
      </c>
      <c r="N48" s="15" t="inlineStr">
        <is>
          <t>Mwalupanga, Kipevu, Changamwe, Mombasa</t>
        </is>
      </c>
    </row>
    <row r="49">
      <c r="A49" s="15" t="inlineStr">
        <is>
          <t>UBF493U</t>
        </is>
      </c>
      <c r="B49" s="21" t="inlineStr">
        <is>
          <t>Online</t>
        </is>
      </c>
      <c r="C49" s="15" t="inlineStr">
        <is>
          <t>-</t>
        </is>
      </c>
      <c r="D49" s="15" t="n">
        <v>0</v>
      </c>
      <c r="E49" s="15" t="inlineStr">
        <is>
          <t>Online</t>
        </is>
      </c>
      <c r="F49" s="15" t="inlineStr">
        <is>
          <t>Online</t>
        </is>
      </c>
      <c r="G49" s="15" t="inlineStr">
        <is>
          <t>N/A</t>
        </is>
      </c>
      <c r="H49" s="15" t="inlineStr">
        <is>
          <t>No</t>
        </is>
      </c>
      <c r="I49" s="15" t="inlineStr"/>
      <c r="J49" s="15" t="inlineStr"/>
      <c r="K49" s="15" t="inlineStr"/>
      <c r="L49" s="15" t="inlineStr">
        <is>
          <t>None</t>
        </is>
      </c>
      <c r="M49" s="15" t="inlineStr">
        <is>
          <t>Reporting normally on all platforms</t>
        </is>
      </c>
      <c r="N49" s="15" t="inlineStr">
        <is>
          <t>Malaba UG West Parking, Kenya Road, Malaba 'b' East, Tororo, Eastern Region, Uganda</t>
        </is>
      </c>
    </row>
    <row r="50">
      <c r="A50" s="15" t="inlineStr">
        <is>
          <t>UBF500U</t>
        </is>
      </c>
      <c r="B50" s="21" t="inlineStr">
        <is>
          <t>Online</t>
        </is>
      </c>
      <c r="C50" s="15" t="inlineStr">
        <is>
          <t>-</t>
        </is>
      </c>
      <c r="D50" s="15" t="n">
        <v>0</v>
      </c>
      <c r="E50" s="15" t="inlineStr">
        <is>
          <t>Online</t>
        </is>
      </c>
      <c r="F50" s="15" t="inlineStr">
        <is>
          <t>Online</t>
        </is>
      </c>
      <c r="G50" s="15" t="inlineStr">
        <is>
          <t>N/A</t>
        </is>
      </c>
      <c r="H50" s="15" t="inlineStr">
        <is>
          <t>No</t>
        </is>
      </c>
      <c r="I50" s="15" t="inlineStr"/>
      <c r="J50" s="15" t="inlineStr"/>
      <c r="K50" s="15" t="inlineStr"/>
      <c r="L50" s="15" t="inlineStr">
        <is>
          <t>None</t>
        </is>
      </c>
      <c r="M50" s="15" t="inlineStr">
        <is>
          <t>Reporting normally on all platforms</t>
        </is>
      </c>
      <c r="N50" s="15" t="inlineStr">
        <is>
          <t>Hamisi estate, Changamwe, Mombasa</t>
        </is>
      </c>
    </row>
    <row r="51">
      <c r="A51" s="15" t="inlineStr">
        <is>
          <t>UBN581C</t>
        </is>
      </c>
      <c r="B51" s="21" t="inlineStr">
        <is>
          <t>Online</t>
        </is>
      </c>
      <c r="C51" s="15" t="inlineStr">
        <is>
          <t>-</t>
        </is>
      </c>
      <c r="D51" s="15" t="n">
        <v>0</v>
      </c>
      <c r="E51" s="15" t="inlineStr">
        <is>
          <t>Online</t>
        </is>
      </c>
      <c r="F51" s="15" t="inlineStr">
        <is>
          <t>Online</t>
        </is>
      </c>
      <c r="G51" s="15" t="inlineStr">
        <is>
          <t>Online</t>
        </is>
      </c>
      <c r="H51" s="15" t="inlineStr">
        <is>
          <t>No</t>
        </is>
      </c>
      <c r="I51" s="15" t="inlineStr"/>
      <c r="J51" s="15" t="inlineStr"/>
      <c r="K51" s="15" t="inlineStr"/>
      <c r="L51" s="15" t="inlineStr">
        <is>
          <t>None</t>
        </is>
      </c>
      <c r="M51" s="15" t="inlineStr">
        <is>
          <t>Reporting normally on all platforms</t>
        </is>
      </c>
      <c r="N51" s="15" t="inlineStr">
        <is>
          <t>KK Travellers Bus Booking Office Karuma, Gulu - Kampala Road, Kiryandongo, Kigumba, Western Region, Uganda</t>
        </is>
      </c>
    </row>
    <row r="52">
      <c r="A52" s="15" t="inlineStr">
        <is>
          <t>UBN596C</t>
        </is>
      </c>
      <c r="B52" s="21" t="inlineStr">
        <is>
          <t>Online</t>
        </is>
      </c>
      <c r="C52" s="15" t="inlineStr">
        <is>
          <t>-</t>
        </is>
      </c>
      <c r="D52" s="15" t="n">
        <v>0</v>
      </c>
      <c r="E52" s="15" t="inlineStr">
        <is>
          <t>Online</t>
        </is>
      </c>
      <c r="F52" s="15" t="inlineStr">
        <is>
          <t>Online</t>
        </is>
      </c>
      <c r="G52" s="15" t="inlineStr">
        <is>
          <t>Online</t>
        </is>
      </c>
      <c r="H52" s="15" t="inlineStr">
        <is>
          <t>No</t>
        </is>
      </c>
      <c r="I52" s="15" t="inlineStr"/>
      <c r="J52" s="15" t="inlineStr"/>
      <c r="K52" s="15" t="inlineStr"/>
      <c r="L52" s="15" t="inlineStr">
        <is>
          <t>None</t>
        </is>
      </c>
      <c r="M52" s="15" t="inlineStr">
        <is>
          <t>Reporting normally on all platforms</t>
        </is>
      </c>
      <c r="N52" s="15" t="inlineStr">
        <is>
          <t>Jinja - Kampala Road, Mawotto, Mukono, Central Region, Uganda</t>
        </is>
      </c>
    </row>
    <row r="53">
      <c r="A53" s="15" t="inlineStr">
        <is>
          <t>UBN595C</t>
        </is>
      </c>
      <c r="B53" s="21" t="inlineStr">
        <is>
          <t>Online</t>
        </is>
      </c>
      <c r="C53" s="15" t="inlineStr">
        <is>
          <t>-</t>
        </is>
      </c>
      <c r="D53" s="15" t="n">
        <v>0</v>
      </c>
      <c r="E53" s="15" t="inlineStr">
        <is>
          <t>Online</t>
        </is>
      </c>
      <c r="F53" s="15" t="inlineStr">
        <is>
          <t>Online</t>
        </is>
      </c>
      <c r="G53" s="15" t="inlineStr">
        <is>
          <t>N/A</t>
        </is>
      </c>
      <c r="H53" s="15" t="inlineStr">
        <is>
          <t>No</t>
        </is>
      </c>
      <c r="I53" s="15" t="inlineStr"/>
      <c r="J53" s="15" t="inlineStr"/>
      <c r="K53" s="15" t="inlineStr"/>
      <c r="L53" s="15" t="inlineStr">
        <is>
          <t>None</t>
        </is>
      </c>
      <c r="M53" s="15" t="inlineStr">
        <is>
          <t>Reporting normally on all platforms</t>
        </is>
      </c>
      <c r="N53" s="15" t="inlineStr">
        <is>
          <t>Eldoret Road, Atapur, Malaba Central, Teso North, Busia</t>
        </is>
      </c>
    </row>
    <row r="54">
      <c r="A54" s="15" t="inlineStr">
        <is>
          <t>UBF683U</t>
        </is>
      </c>
      <c r="B54" s="21" t="inlineStr">
        <is>
          <t>Online</t>
        </is>
      </c>
      <c r="C54" s="15" t="inlineStr">
        <is>
          <t>-</t>
        </is>
      </c>
      <c r="D54" s="15" t="n">
        <v>0</v>
      </c>
      <c r="E54" s="15" t="inlineStr">
        <is>
          <t>Online</t>
        </is>
      </c>
      <c r="F54" s="15" t="inlineStr">
        <is>
          <t>Online</t>
        </is>
      </c>
      <c r="G54" s="15" t="inlineStr">
        <is>
          <t>N/A</t>
        </is>
      </c>
      <c r="H54" s="15" t="inlineStr">
        <is>
          <t>No</t>
        </is>
      </c>
      <c r="I54" s="15" t="inlineStr"/>
      <c r="J54" s="15" t="inlineStr"/>
      <c r="K54" s="15" t="inlineStr"/>
      <c r="L54" s="15" t="inlineStr">
        <is>
          <t>None</t>
        </is>
      </c>
      <c r="M54" s="15" t="inlineStr">
        <is>
          <t>Reporting normally on all platforms</t>
        </is>
      </c>
      <c r="N54" s="15" t="inlineStr">
        <is>
          <t>Malaba UG North Parking, Kenya Road, Malaba 'b' East, Tororo, Eastern Region, Uganda</t>
        </is>
      </c>
    </row>
    <row r="55">
      <c r="A55" s="15" t="inlineStr">
        <is>
          <t>UBQ428U</t>
        </is>
      </c>
      <c r="B55" s="21" t="inlineStr">
        <is>
          <t>Online</t>
        </is>
      </c>
      <c r="C55" s="15" t="inlineStr">
        <is>
          <t>-</t>
        </is>
      </c>
      <c r="D55" s="15" t="n">
        <v>0</v>
      </c>
      <c r="E55" s="15" t="inlineStr">
        <is>
          <t>Online</t>
        </is>
      </c>
      <c r="F55" s="15" t="inlineStr">
        <is>
          <t>Online</t>
        </is>
      </c>
      <c r="G55" s="15" t="inlineStr">
        <is>
          <t>N/A</t>
        </is>
      </c>
      <c r="H55" s="15" t="inlineStr">
        <is>
          <t>No</t>
        </is>
      </c>
      <c r="I55" s="15" t="inlineStr"/>
      <c r="J55" s="15" t="inlineStr"/>
      <c r="K55" s="15" t="inlineStr"/>
      <c r="L55" s="15" t="inlineStr">
        <is>
          <t>None</t>
        </is>
      </c>
      <c r="M55" s="15" t="inlineStr">
        <is>
          <t>Reporting normally on all platforms</t>
        </is>
      </c>
      <c r="N55" s="15" t="inlineStr">
        <is>
          <t>Nalukolongo (zone), Rubaga, Kampala Capital City, Kampala, Central Region, Uganda</t>
        </is>
      </c>
    </row>
    <row r="56">
      <c r="A56" s="15" t="inlineStr">
        <is>
          <t>UBF422U</t>
        </is>
      </c>
      <c r="B56" s="21" t="inlineStr">
        <is>
          <t>Online</t>
        </is>
      </c>
      <c r="C56" s="15" t="inlineStr">
        <is>
          <t>-</t>
        </is>
      </c>
      <c r="D56" s="15" t="n">
        <v>0</v>
      </c>
      <c r="E56" s="15" t="inlineStr">
        <is>
          <t>Online</t>
        </is>
      </c>
      <c r="F56" s="15" t="inlineStr">
        <is>
          <t>Online</t>
        </is>
      </c>
      <c r="G56" s="15" t="inlineStr">
        <is>
          <t>N/A</t>
        </is>
      </c>
      <c r="H56" s="15" t="inlineStr">
        <is>
          <t>No</t>
        </is>
      </c>
      <c r="I56" s="15" t="inlineStr"/>
      <c r="J56" s="15" t="inlineStr"/>
      <c r="K56" s="15" t="inlineStr"/>
      <c r="L56" s="15" t="inlineStr">
        <is>
          <t>None</t>
        </is>
      </c>
      <c r="M56" s="15" t="inlineStr">
        <is>
          <t>Reporting normally on all platforms</t>
        </is>
      </c>
      <c r="N56" s="15" t="inlineStr">
        <is>
          <t>Magongo Road, Mwalupanga, Kipevu, Changamwe, Mombasa</t>
        </is>
      </c>
    </row>
    <row r="57">
      <c r="A57" s="15" t="inlineStr">
        <is>
          <t>UBF423U</t>
        </is>
      </c>
      <c r="B57" s="21" t="inlineStr">
        <is>
          <t>Online</t>
        </is>
      </c>
      <c r="C57" s="15" t="inlineStr">
        <is>
          <t>-</t>
        </is>
      </c>
      <c r="D57" s="15" t="n">
        <v>0</v>
      </c>
      <c r="E57" s="15" t="inlineStr">
        <is>
          <t>Online</t>
        </is>
      </c>
      <c r="F57" s="15" t="inlineStr">
        <is>
          <t>Online</t>
        </is>
      </c>
      <c r="G57" s="15" t="inlineStr">
        <is>
          <t>N/A</t>
        </is>
      </c>
      <c r="H57" s="15" t="inlineStr">
        <is>
          <t>No</t>
        </is>
      </c>
      <c r="I57" s="15" t="inlineStr"/>
      <c r="J57" s="15" t="inlineStr"/>
      <c r="K57" s="15" t="inlineStr"/>
      <c r="L57" s="15" t="inlineStr">
        <is>
          <t>None</t>
        </is>
      </c>
      <c r="M57" s="15" t="inlineStr">
        <is>
          <t>Reporting normally on all platforms</t>
        </is>
      </c>
      <c r="N57" s="15" t="inlineStr">
        <is>
          <t>Magongo Road, Mwalupanga, Kipevu, Changamwe, Mombasa</t>
        </is>
      </c>
    </row>
    <row r="58">
      <c r="A58" s="15" t="inlineStr">
        <is>
          <t>UBF502U</t>
        </is>
      </c>
      <c r="B58" s="21" t="inlineStr">
        <is>
          <t>Online</t>
        </is>
      </c>
      <c r="C58" s="15" t="inlineStr">
        <is>
          <t>-</t>
        </is>
      </c>
      <c r="D58" s="15" t="n">
        <v>0</v>
      </c>
      <c r="E58" s="15" t="inlineStr">
        <is>
          <t>Online</t>
        </is>
      </c>
      <c r="F58" s="15" t="inlineStr">
        <is>
          <t>Online</t>
        </is>
      </c>
      <c r="G58" s="15" t="inlineStr">
        <is>
          <t>N/A</t>
        </is>
      </c>
      <c r="H58" s="15" t="inlineStr">
        <is>
          <t>No</t>
        </is>
      </c>
      <c r="I58" s="15" t="inlineStr"/>
      <c r="J58" s="15" t="inlineStr"/>
      <c r="K58" s="15" t="inlineStr"/>
      <c r="L58" s="15" t="inlineStr">
        <is>
          <t>None</t>
        </is>
      </c>
      <c r="M58" s="15" t="inlineStr">
        <is>
          <t>Reporting normally on all platforms</t>
        </is>
      </c>
      <c r="N58" s="15" t="inlineStr">
        <is>
          <t>Mombasa Road, Mariakani, Kaloleni, Kilifi</t>
        </is>
      </c>
    </row>
    <row r="59">
      <c r="A59" s="15" t="inlineStr">
        <is>
          <t>UBF522U</t>
        </is>
      </c>
      <c r="B59" s="21" t="inlineStr">
        <is>
          <t>Online</t>
        </is>
      </c>
      <c r="C59" s="15" t="inlineStr">
        <is>
          <t>-</t>
        </is>
      </c>
      <c r="D59" s="15" t="n">
        <v>0</v>
      </c>
      <c r="E59" s="15" t="inlineStr">
        <is>
          <t>Online</t>
        </is>
      </c>
      <c r="F59" s="15" t="inlineStr">
        <is>
          <t>Online</t>
        </is>
      </c>
      <c r="G59" s="15" t="inlineStr">
        <is>
          <t>N/A</t>
        </is>
      </c>
      <c r="H59" s="15" t="inlineStr">
        <is>
          <t>No</t>
        </is>
      </c>
      <c r="I59" s="15" t="inlineStr"/>
      <c r="J59" s="15" t="inlineStr"/>
      <c r="K59" s="15" t="inlineStr"/>
      <c r="L59" s="15" t="inlineStr">
        <is>
          <t>None</t>
        </is>
      </c>
      <c r="M59" s="15" t="inlineStr">
        <is>
          <t>Reporting normally on all platforms</t>
        </is>
      </c>
      <c r="N59" s="15" t="inlineStr">
        <is>
          <t>Mombasa Road, Mariakani, Kaloleni, Kilifi</t>
        </is>
      </c>
    </row>
    <row r="60">
      <c r="A60" s="15" t="inlineStr">
        <is>
          <t>UBF480U</t>
        </is>
      </c>
      <c r="B60" s="21" t="inlineStr">
        <is>
          <t>Online</t>
        </is>
      </c>
      <c r="C60" s="15" t="inlineStr">
        <is>
          <t>-</t>
        </is>
      </c>
      <c r="D60" s="15" t="n">
        <v>0</v>
      </c>
      <c r="E60" s="15" t="inlineStr">
        <is>
          <t>Online</t>
        </is>
      </c>
      <c r="F60" s="15" t="inlineStr">
        <is>
          <t>Online</t>
        </is>
      </c>
      <c r="G60" s="15" t="inlineStr">
        <is>
          <t>N/A</t>
        </is>
      </c>
      <c r="H60" s="15" t="inlineStr">
        <is>
          <t>No</t>
        </is>
      </c>
      <c r="I60" s="15" t="inlineStr"/>
      <c r="J60" s="15" t="inlineStr"/>
      <c r="K60" s="15" t="inlineStr"/>
      <c r="L60" s="15" t="inlineStr">
        <is>
          <t>None</t>
        </is>
      </c>
      <c r="M60" s="15" t="inlineStr">
        <is>
          <t>Reporting normally on all platforms</t>
        </is>
      </c>
      <c r="N60" s="15" t="inlineStr">
        <is>
          <t>Mombasa Road, Mariakani, Kaloleni, Kilifi</t>
        </is>
      </c>
    </row>
    <row r="61">
      <c r="A61" s="15" t="inlineStr">
        <is>
          <t>UBF218N</t>
        </is>
      </c>
      <c r="B61" s="21" t="inlineStr">
        <is>
          <t>Online</t>
        </is>
      </c>
      <c r="C61" s="15" t="inlineStr">
        <is>
          <t>-</t>
        </is>
      </c>
      <c r="D61" s="15" t="n">
        <v>0</v>
      </c>
      <c r="E61" s="15" t="inlineStr">
        <is>
          <t>Online</t>
        </is>
      </c>
      <c r="F61" s="15" t="inlineStr">
        <is>
          <t>Online</t>
        </is>
      </c>
      <c r="G61" s="15" t="inlineStr">
        <is>
          <t>N/A</t>
        </is>
      </c>
      <c r="H61" s="15" t="inlineStr">
        <is>
          <t>No</t>
        </is>
      </c>
      <c r="I61" s="15" t="inlineStr"/>
      <c r="J61" s="15" t="inlineStr"/>
      <c r="K61" s="15" t="inlineStr"/>
      <c r="L61" s="15" t="inlineStr">
        <is>
          <t>None</t>
        </is>
      </c>
      <c r="M61" s="15" t="inlineStr">
        <is>
          <t>Reporting normally on all platforms</t>
        </is>
      </c>
      <c r="N61" s="15" t="inlineStr">
        <is>
          <t>Jinja - Kampala Road, Mbalala, Mukono, Central Region, Uganda</t>
        </is>
      </c>
    </row>
    <row r="62">
      <c r="A62" s="15" t="inlineStr">
        <is>
          <t>UBF427U</t>
        </is>
      </c>
      <c r="B62" s="21" t="inlineStr">
        <is>
          <t>Online</t>
        </is>
      </c>
      <c r="C62" s="15" t="inlineStr">
        <is>
          <t>-</t>
        </is>
      </c>
      <c r="D62" s="15" t="n">
        <v>0</v>
      </c>
      <c r="E62" s="15" t="inlineStr">
        <is>
          <t>Online</t>
        </is>
      </c>
      <c r="F62" s="15" t="inlineStr">
        <is>
          <t>Online</t>
        </is>
      </c>
      <c r="G62" s="15" t="inlineStr">
        <is>
          <t>N/A</t>
        </is>
      </c>
      <c r="H62" s="15" t="inlineStr">
        <is>
          <t>No</t>
        </is>
      </c>
      <c r="I62" s="15" t="inlineStr"/>
      <c r="J62" s="15" t="inlineStr"/>
      <c r="K62" s="15" t="inlineStr"/>
      <c r="L62" s="15" t="inlineStr">
        <is>
          <t>None</t>
        </is>
      </c>
      <c r="M62" s="15" t="inlineStr">
        <is>
          <t>Reporting normally on all platforms</t>
        </is>
      </c>
      <c r="N62" s="15" t="inlineStr">
        <is>
          <t>Malaba UG North Parking, Kenya Road, Malaba 'b' East, Tororo, Eastern Region, Uganda</t>
        </is>
      </c>
    </row>
    <row r="63">
      <c r="A63" s="15" t="inlineStr">
        <is>
          <t>UBQ757P</t>
        </is>
      </c>
      <c r="B63" s="21" t="inlineStr">
        <is>
          <t>Online</t>
        </is>
      </c>
      <c r="C63" s="15" t="inlineStr">
        <is>
          <t>-</t>
        </is>
      </c>
      <c r="D63" s="15" t="n">
        <v>0</v>
      </c>
      <c r="E63" s="15" t="inlineStr">
        <is>
          <t>Online</t>
        </is>
      </c>
      <c r="F63" s="15" t="inlineStr">
        <is>
          <t>Online</t>
        </is>
      </c>
      <c r="G63" s="15" t="inlineStr">
        <is>
          <t>N/A</t>
        </is>
      </c>
      <c r="H63" s="15" t="inlineStr">
        <is>
          <t>No</t>
        </is>
      </c>
      <c r="I63" s="15" t="inlineStr"/>
      <c r="J63" s="15" t="inlineStr"/>
      <c r="K63" s="15" t="inlineStr"/>
      <c r="L63" s="15" t="inlineStr">
        <is>
          <t>None</t>
        </is>
      </c>
      <c r="M63" s="15" t="inlineStr">
        <is>
          <t>Reporting normally on all platforms</t>
        </is>
      </c>
      <c r="N63" s="15" t="inlineStr">
        <is>
          <t>Hamisi estate, Changamwe, Mombasa</t>
        </is>
      </c>
    </row>
    <row r="64">
      <c r="A64" s="15" t="inlineStr">
        <is>
          <t>UBN587C</t>
        </is>
      </c>
      <c r="B64" s="21" t="inlineStr">
        <is>
          <t>Online</t>
        </is>
      </c>
      <c r="C64" s="15" t="inlineStr">
        <is>
          <t>-</t>
        </is>
      </c>
      <c r="D64" s="15" t="n">
        <v>0</v>
      </c>
      <c r="E64" s="15" t="inlineStr">
        <is>
          <t>Online</t>
        </is>
      </c>
      <c r="F64" s="15" t="inlineStr">
        <is>
          <t>Online</t>
        </is>
      </c>
      <c r="G64" s="15" t="inlineStr">
        <is>
          <t>Online</t>
        </is>
      </c>
      <c r="H64" s="15" t="inlineStr">
        <is>
          <t>No</t>
        </is>
      </c>
      <c r="I64" s="15" t="inlineStr"/>
      <c r="J64" s="15" t="inlineStr"/>
      <c r="K64" s="15" t="inlineStr"/>
      <c r="L64" s="15" t="inlineStr">
        <is>
          <t>None</t>
        </is>
      </c>
      <c r="M64" s="15" t="inlineStr">
        <is>
          <t>Reporting normally on all platforms</t>
        </is>
      </c>
      <c r="N64" s="15" t="inlineStr">
        <is>
          <t>Mombasa - Nairobi Road, Syokimau, Langata, Syokimau-Mulolongo, Mavoko, Machakos</t>
        </is>
      </c>
    </row>
    <row r="65">
      <c r="A65" s="15" t="inlineStr">
        <is>
          <t>UBF525U</t>
        </is>
      </c>
      <c r="B65" s="21" t="inlineStr">
        <is>
          <t>Online</t>
        </is>
      </c>
      <c r="C65" s="15" t="inlineStr">
        <is>
          <t>-</t>
        </is>
      </c>
      <c r="D65" s="15" t="n">
        <v>0</v>
      </c>
      <c r="E65" s="15" t="inlineStr">
        <is>
          <t>Online</t>
        </is>
      </c>
      <c r="F65" s="15" t="inlineStr">
        <is>
          <t>Online</t>
        </is>
      </c>
      <c r="G65" s="15" t="inlineStr">
        <is>
          <t>N/A</t>
        </is>
      </c>
      <c r="H65" s="15" t="inlineStr">
        <is>
          <t>No</t>
        </is>
      </c>
      <c r="I65" s="15" t="inlineStr"/>
      <c r="J65" s="15" t="inlineStr"/>
      <c r="K65" s="15" t="inlineStr"/>
      <c r="L65" s="15" t="inlineStr">
        <is>
          <t>None</t>
        </is>
      </c>
      <c r="M65" s="15" t="inlineStr">
        <is>
          <t>Reporting normally on all platforms</t>
        </is>
      </c>
      <c r="N65" s="15" t="inlineStr">
        <is>
          <t>Mombasa Road, Mariakani, Kaloleni, Kilifi</t>
        </is>
      </c>
    </row>
    <row r="66">
      <c r="A66" s="15" t="inlineStr">
        <is>
          <t>UBN600C</t>
        </is>
      </c>
      <c r="B66" s="21" t="inlineStr">
        <is>
          <t>Online</t>
        </is>
      </c>
      <c r="C66" s="15" t="inlineStr">
        <is>
          <t>-</t>
        </is>
      </c>
      <c r="D66" s="15" t="n">
        <v>0</v>
      </c>
      <c r="E66" s="15" t="inlineStr">
        <is>
          <t>Online</t>
        </is>
      </c>
      <c r="F66" s="15" t="inlineStr">
        <is>
          <t>Online</t>
        </is>
      </c>
      <c r="G66" s="15" t="inlineStr">
        <is>
          <t>N/A</t>
        </is>
      </c>
      <c r="H66" s="15" t="inlineStr">
        <is>
          <t>No</t>
        </is>
      </c>
      <c r="I66" s="15" t="inlineStr"/>
      <c r="J66" s="15" t="inlineStr"/>
      <c r="K66" s="15" t="inlineStr"/>
      <c r="L66" s="15" t="inlineStr">
        <is>
          <t>None</t>
        </is>
      </c>
      <c r="M66" s="15" t="inlineStr">
        <is>
          <t>Reporting normally on all platforms</t>
        </is>
      </c>
      <c r="N66" s="15" t="inlineStr">
        <is>
          <t>Malaba UG West Parking, Kenya Road, Malaba 'b' East, Tororo, Eastern Region, Uganda</t>
        </is>
      </c>
    </row>
    <row r="67">
      <c r="A67" s="15" t="inlineStr">
        <is>
          <t>UBF523U</t>
        </is>
      </c>
      <c r="B67" s="21" t="inlineStr">
        <is>
          <t>Online</t>
        </is>
      </c>
      <c r="C67" s="15" t="inlineStr">
        <is>
          <t>-</t>
        </is>
      </c>
      <c r="D67" s="15" t="n">
        <v>0</v>
      </c>
      <c r="E67" s="15" t="inlineStr">
        <is>
          <t>Online</t>
        </is>
      </c>
      <c r="F67" s="15" t="inlineStr">
        <is>
          <t>Online</t>
        </is>
      </c>
      <c r="G67" s="15" t="inlineStr">
        <is>
          <t>N/A</t>
        </is>
      </c>
      <c r="H67" s="15" t="inlineStr">
        <is>
          <t>No</t>
        </is>
      </c>
      <c r="I67" s="15" t="inlineStr"/>
      <c r="J67" s="15" t="inlineStr"/>
      <c r="K67" s="15" t="inlineStr"/>
      <c r="L67" s="15" t="inlineStr">
        <is>
          <t>None</t>
        </is>
      </c>
      <c r="M67" s="15" t="inlineStr">
        <is>
          <t>Reporting normally on all platforms</t>
        </is>
      </c>
      <c r="N67" s="15" t="inlineStr">
        <is>
          <t>Kenya Road, Malaba 'b' East, Tororo, Eastern Region, Uganda</t>
        </is>
      </c>
    </row>
    <row r="68">
      <c r="A68" s="15" t="inlineStr">
        <is>
          <t>UBN594C</t>
        </is>
      </c>
      <c r="B68" s="21" t="inlineStr">
        <is>
          <t>Online</t>
        </is>
      </c>
      <c r="C68" s="15" t="inlineStr">
        <is>
          <t>-</t>
        </is>
      </c>
      <c r="D68" s="15" t="n">
        <v>0</v>
      </c>
      <c r="E68" s="15" t="inlineStr">
        <is>
          <t>Online</t>
        </is>
      </c>
      <c r="F68" s="15" t="inlineStr">
        <is>
          <t>Online</t>
        </is>
      </c>
      <c r="G68" s="15" t="inlineStr">
        <is>
          <t>Online</t>
        </is>
      </c>
      <c r="H68" s="15" t="inlineStr">
        <is>
          <t>No</t>
        </is>
      </c>
      <c r="I68" s="15" t="inlineStr"/>
      <c r="J68" s="15" t="inlineStr"/>
      <c r="K68" s="15" t="inlineStr"/>
      <c r="L68" s="15" t="inlineStr">
        <is>
          <t>None</t>
        </is>
      </c>
      <c r="M68" s="15" t="inlineStr">
        <is>
          <t>Reporting normally on all platforms</t>
        </is>
      </c>
      <c r="N68" s="15" t="inlineStr">
        <is>
          <t>Old Nairobi Road, Mbaruk, Greensteads, Gilgil, Nakuru</t>
        </is>
      </c>
    </row>
    <row r="69">
      <c r="A69" s="15" t="inlineStr">
        <is>
          <t>UBQ431U</t>
        </is>
      </c>
      <c r="B69" s="21" t="inlineStr">
        <is>
          <t>Online</t>
        </is>
      </c>
      <c r="C69" s="15" t="inlineStr">
        <is>
          <t>-</t>
        </is>
      </c>
      <c r="D69" s="15" t="n">
        <v>0</v>
      </c>
      <c r="E69" s="15" t="inlineStr">
        <is>
          <t>Online</t>
        </is>
      </c>
      <c r="F69" s="15" t="inlineStr">
        <is>
          <t>Online</t>
        </is>
      </c>
      <c r="G69" s="15" t="inlineStr">
        <is>
          <t>Online</t>
        </is>
      </c>
      <c r="H69" s="15" t="inlineStr">
        <is>
          <t>No</t>
        </is>
      </c>
      <c r="I69" s="15" t="inlineStr"/>
      <c r="J69" s="15" t="inlineStr"/>
      <c r="K69" s="15" t="inlineStr"/>
      <c r="L69" s="15" t="inlineStr">
        <is>
          <t>None</t>
        </is>
      </c>
      <c r="M69" s="15" t="inlineStr">
        <is>
          <t>Reporting normally on all platforms</t>
        </is>
      </c>
      <c r="N69" s="15" t="inlineStr">
        <is>
          <t>Kenya Road, Malaba 'b' East, Tororo, Eastern Region, Uganda</t>
        </is>
      </c>
    </row>
    <row r="70">
      <c r="A70" s="15" t="inlineStr">
        <is>
          <t>UBQ762P</t>
        </is>
      </c>
      <c r="B70" s="21" t="inlineStr">
        <is>
          <t>Online</t>
        </is>
      </c>
      <c r="C70" s="15" t="inlineStr">
        <is>
          <t>-</t>
        </is>
      </c>
      <c r="D70" s="15" t="n">
        <v>0</v>
      </c>
      <c r="E70" s="15" t="inlineStr">
        <is>
          <t>Online</t>
        </is>
      </c>
      <c r="F70" s="15" t="inlineStr">
        <is>
          <t>Online</t>
        </is>
      </c>
      <c r="G70" s="15" t="inlineStr">
        <is>
          <t>N/A</t>
        </is>
      </c>
      <c r="H70" s="15" t="inlineStr">
        <is>
          <t>No</t>
        </is>
      </c>
      <c r="I70" s="15" t="inlineStr"/>
      <c r="J70" s="15" t="inlineStr"/>
      <c r="K70" s="15" t="inlineStr"/>
      <c r="L70" s="15" t="inlineStr">
        <is>
          <t>None</t>
        </is>
      </c>
      <c r="M70" s="15" t="inlineStr">
        <is>
          <t>Reporting normally on all platforms</t>
        </is>
      </c>
      <c r="N70" s="15" t="inlineStr">
        <is>
          <t>Kenya Road, Asinge 'b' A, Tororo, Eastern Region, Uganda</t>
        </is>
      </c>
    </row>
    <row r="71">
      <c r="A71" s="15" t="inlineStr">
        <is>
          <t>UA220BN</t>
        </is>
      </c>
      <c r="B71" s="21" t="inlineStr">
        <is>
          <t>Online</t>
        </is>
      </c>
      <c r="C71" s="15" t="inlineStr">
        <is>
          <t>-</t>
        </is>
      </c>
      <c r="D71" s="15" t="n">
        <v>0</v>
      </c>
      <c r="E71" s="15" t="inlineStr">
        <is>
          <t>N/A</t>
        </is>
      </c>
      <c r="F71" s="15" t="inlineStr">
        <is>
          <t>Online</t>
        </is>
      </c>
      <c r="G71" s="15" t="inlineStr">
        <is>
          <t>N/A</t>
        </is>
      </c>
      <c r="H71" s="15" t="inlineStr">
        <is>
          <t>No</t>
        </is>
      </c>
      <c r="I71" s="15" t="inlineStr"/>
      <c r="J71" s="15" t="inlineStr"/>
      <c r="K71" s="15" t="inlineStr"/>
      <c r="L71" s="15" t="inlineStr">
        <is>
          <t>None</t>
        </is>
      </c>
      <c r="M71" s="15" t="inlineStr">
        <is>
          <t>Reporting normally on all platforms</t>
        </is>
      </c>
      <c r="N71" s="15" t="inlineStr">
        <is>
          <t>Tilenga, BuliisaUnnamed Road, Kimoli, Uganda</t>
        </is>
      </c>
    </row>
    <row r="72">
      <c r="A72" s="15" t="inlineStr">
        <is>
          <t>UA979CG</t>
        </is>
      </c>
      <c r="B72" s="21" t="inlineStr">
        <is>
          <t>Online</t>
        </is>
      </c>
      <c r="C72" s="15" t="inlineStr">
        <is>
          <t>-</t>
        </is>
      </c>
      <c r="D72" s="15" t="n">
        <v>0</v>
      </c>
      <c r="E72" s="15" t="inlineStr">
        <is>
          <t>N/A</t>
        </is>
      </c>
      <c r="F72" s="15" t="inlineStr">
        <is>
          <t>Online</t>
        </is>
      </c>
      <c r="G72" s="15" t="inlineStr">
        <is>
          <t>N/A</t>
        </is>
      </c>
      <c r="H72" s="15" t="inlineStr">
        <is>
          <t>No</t>
        </is>
      </c>
      <c r="I72" s="15" t="inlineStr"/>
      <c r="J72" s="15" t="inlineStr"/>
      <c r="K72" s="15" t="inlineStr"/>
      <c r="L72" s="15" t="inlineStr">
        <is>
          <t>None</t>
        </is>
      </c>
      <c r="M72" s="15" t="inlineStr">
        <is>
          <t>Reporting normally on all platforms</t>
        </is>
      </c>
      <c r="N72" s="15" t="inlineStr">
        <is>
          <t>Tilenga, BuliisaUnnamed Road, Kimoli, Uganda</t>
        </is>
      </c>
    </row>
    <row r="73">
      <c r="A73" s="15" t="inlineStr">
        <is>
          <t>UA014CL</t>
        </is>
      </c>
      <c r="B73" s="21" t="inlineStr">
        <is>
          <t>Online</t>
        </is>
      </c>
      <c r="C73" s="15" t="inlineStr">
        <is>
          <t>-</t>
        </is>
      </c>
      <c r="D73" s="15" t="n">
        <v>0</v>
      </c>
      <c r="E73" s="15" t="inlineStr">
        <is>
          <t>N/A</t>
        </is>
      </c>
      <c r="F73" s="15" t="inlineStr">
        <is>
          <t>Online</t>
        </is>
      </c>
      <c r="G73" s="15" t="inlineStr">
        <is>
          <t>N/A</t>
        </is>
      </c>
      <c r="H73" s="15" t="inlineStr">
        <is>
          <t>No</t>
        </is>
      </c>
      <c r="I73" s="15" t="inlineStr"/>
      <c r="J73" s="15" t="inlineStr"/>
      <c r="K73" s="15" t="inlineStr"/>
      <c r="L73" s="15" t="inlineStr">
        <is>
          <t>None</t>
        </is>
      </c>
      <c r="M73" s="15" t="inlineStr">
        <is>
          <t>Reporting normally on all platforms</t>
        </is>
      </c>
      <c r="N73" s="15" t="inlineStr">
        <is>
          <t>Tilenga, BuliisaUnnamed Road, Uganda</t>
        </is>
      </c>
    </row>
    <row r="74">
      <c r="A74" s="15" t="inlineStr">
        <is>
          <t>UA746CG</t>
        </is>
      </c>
      <c r="B74" s="21" t="inlineStr">
        <is>
          <t>Online</t>
        </is>
      </c>
      <c r="C74" s="15" t="inlineStr">
        <is>
          <t>-</t>
        </is>
      </c>
      <c r="D74" s="15" t="n">
        <v>0</v>
      </c>
      <c r="E74" s="15" t="inlineStr">
        <is>
          <t>N/A</t>
        </is>
      </c>
      <c r="F74" s="15" t="inlineStr">
        <is>
          <t>Online</t>
        </is>
      </c>
      <c r="G74" s="15" t="inlineStr">
        <is>
          <t>N/A</t>
        </is>
      </c>
      <c r="H74" s="15" t="inlineStr">
        <is>
          <t>No</t>
        </is>
      </c>
      <c r="I74" s="15" t="inlineStr"/>
      <c r="J74" s="15" t="inlineStr"/>
      <c r="K74" s="15" t="inlineStr"/>
      <c r="L74" s="15" t="inlineStr">
        <is>
          <t>None</t>
        </is>
      </c>
      <c r="M74" s="15" t="inlineStr">
        <is>
          <t>Reporting normally on all platforms</t>
        </is>
      </c>
      <c r="N74" s="15" t="inlineStr">
        <is>
          <t>Tilenga, BuliisaUnnamed Road, Kimoli, Uganda</t>
        </is>
      </c>
    </row>
    <row r="75">
      <c r="A75" s="15" t="inlineStr">
        <is>
          <t>UA421CB</t>
        </is>
      </c>
      <c r="B75" s="21" t="inlineStr">
        <is>
          <t>Online</t>
        </is>
      </c>
      <c r="C75" s="15" t="inlineStr">
        <is>
          <t>-</t>
        </is>
      </c>
      <c r="D75" s="15" t="n">
        <v>0</v>
      </c>
      <c r="E75" s="15" t="inlineStr">
        <is>
          <t>N/A</t>
        </is>
      </c>
      <c r="F75" s="15" t="inlineStr">
        <is>
          <t>Online</t>
        </is>
      </c>
      <c r="G75" s="15" t="inlineStr">
        <is>
          <t>N/A</t>
        </is>
      </c>
      <c r="H75" s="15" t="inlineStr">
        <is>
          <t>No</t>
        </is>
      </c>
      <c r="I75" s="15" t="inlineStr"/>
      <c r="J75" s="15" t="inlineStr"/>
      <c r="K75" s="15" t="inlineStr"/>
      <c r="L75" s="15" t="inlineStr">
        <is>
          <t>None</t>
        </is>
      </c>
      <c r="M75" s="15" t="inlineStr">
        <is>
          <t>Reporting normally on all platforms</t>
        </is>
      </c>
      <c r="N75" s="15" t="inlineStr">
        <is>
          <t>Tilenga, BuliisaUnnamed Road, Kimoli, Uganda</t>
        </is>
      </c>
    </row>
    <row r="76">
      <c r="A76" s="15" t="inlineStr">
        <is>
          <t>UA840CM</t>
        </is>
      </c>
      <c r="B76" s="21" t="inlineStr">
        <is>
          <t>Online</t>
        </is>
      </c>
      <c r="C76" s="15" t="inlineStr">
        <is>
          <t>-</t>
        </is>
      </c>
      <c r="D76" s="15" t="n">
        <v>0</v>
      </c>
      <c r="E76" s="15" t="inlineStr">
        <is>
          <t>N/A</t>
        </is>
      </c>
      <c r="F76" s="15" t="inlineStr">
        <is>
          <t>Online</t>
        </is>
      </c>
      <c r="G76" s="15" t="inlineStr">
        <is>
          <t>N/A</t>
        </is>
      </c>
      <c r="H76" s="15" t="inlineStr">
        <is>
          <t>No</t>
        </is>
      </c>
      <c r="I76" s="15" t="inlineStr"/>
      <c r="J76" s="15" t="inlineStr"/>
      <c r="K76" s="15" t="inlineStr"/>
      <c r="L76" s="15" t="inlineStr">
        <is>
          <t>None</t>
        </is>
      </c>
      <c r="M76" s="15" t="inlineStr">
        <is>
          <t>Reporting normally on all platforms</t>
        </is>
      </c>
      <c r="N76" s="15" t="inlineStr">
        <is>
          <t>Tilenga, BuliisaUnnamed Road, Kimoli, Uganda</t>
        </is>
      </c>
    </row>
    <row r="77">
      <c r="A77" s="15" t="inlineStr">
        <is>
          <t>UBF504U</t>
        </is>
      </c>
      <c r="B77" s="21" t="inlineStr">
        <is>
          <t>Online</t>
        </is>
      </c>
      <c r="C77" s="15" t="inlineStr">
        <is>
          <t>-</t>
        </is>
      </c>
      <c r="D77" s="15" t="n">
        <v>0</v>
      </c>
      <c r="E77" s="15" t="inlineStr">
        <is>
          <t>N/A</t>
        </is>
      </c>
      <c r="F77" s="15" t="inlineStr">
        <is>
          <t>Online</t>
        </is>
      </c>
      <c r="G77" s="15" t="inlineStr">
        <is>
          <t>N/A</t>
        </is>
      </c>
      <c r="H77" s="15" t="inlineStr">
        <is>
          <t>No</t>
        </is>
      </c>
      <c r="I77" s="15" t="inlineStr"/>
      <c r="J77" s="15" t="inlineStr"/>
      <c r="K77" s="15" t="inlineStr"/>
      <c r="L77" s="15" t="inlineStr">
        <is>
          <t>None</t>
        </is>
      </c>
      <c r="M77" s="15" t="inlineStr">
        <is>
          <t>Reporting normally on all platforms</t>
        </is>
      </c>
      <c r="N77" s="15" t="inlineStr">
        <is>
          <t>Mombasa, KenyaXJ64+JRC, Mombasa, Kenya</t>
        </is>
      </c>
    </row>
    <row r="78">
      <c r="A78" s="15" t="inlineStr">
        <is>
          <t>UA552AU</t>
        </is>
      </c>
      <c r="B78" s="21" t="inlineStr">
        <is>
          <t>Online</t>
        </is>
      </c>
      <c r="C78" s="15" t="inlineStr">
        <is>
          <t>-</t>
        </is>
      </c>
      <c r="D78" s="15" t="n">
        <v>0</v>
      </c>
      <c r="E78" s="15" t="inlineStr">
        <is>
          <t>N/A</t>
        </is>
      </c>
      <c r="F78" s="15" t="inlineStr">
        <is>
          <t>Online</t>
        </is>
      </c>
      <c r="G78" s="15" t="inlineStr">
        <is>
          <t>N/A</t>
        </is>
      </c>
      <c r="H78" s="15" t="inlineStr">
        <is>
          <t>No</t>
        </is>
      </c>
      <c r="I78" s="15" t="inlineStr"/>
      <c r="J78" s="15" t="inlineStr"/>
      <c r="K78" s="15" t="inlineStr"/>
      <c r="L78" s="15" t="inlineStr">
        <is>
          <t>None</t>
        </is>
      </c>
      <c r="M78" s="15" t="inlineStr">
        <is>
          <t>Reporting normally on all platforms</t>
        </is>
      </c>
      <c r="N78" s="15" t="inlineStr">
        <is>
          <t>Kampala-Hoima, Uganda</t>
        </is>
      </c>
    </row>
    <row r="79">
      <c r="A79" s="15" t="inlineStr">
        <is>
          <t>UA571AU</t>
        </is>
      </c>
      <c r="B79" s="21" t="inlineStr">
        <is>
          <t>Online</t>
        </is>
      </c>
      <c r="C79" s="15" t="inlineStr">
        <is>
          <t>-</t>
        </is>
      </c>
      <c r="D79" s="15" t="n">
        <v>0</v>
      </c>
      <c r="E79" s="15" t="inlineStr">
        <is>
          <t>N/A</t>
        </is>
      </c>
      <c r="F79" s="15" t="inlineStr">
        <is>
          <t>Online</t>
        </is>
      </c>
      <c r="G79" s="15" t="inlineStr">
        <is>
          <t>N/A</t>
        </is>
      </c>
      <c r="H79" s="15" t="inlineStr">
        <is>
          <t>No</t>
        </is>
      </c>
      <c r="I79" s="15" t="inlineStr"/>
      <c r="J79" s="15" t="inlineStr"/>
      <c r="K79" s="15" t="inlineStr"/>
      <c r="L79" s="15" t="inlineStr">
        <is>
          <t>None</t>
        </is>
      </c>
      <c r="M79" s="15" t="inlineStr">
        <is>
          <t>Reporting normally on all platforms</t>
        </is>
      </c>
      <c r="N79" s="15" t="inlineStr">
        <is>
          <t>Kamdini - Lira, Uganda</t>
        </is>
      </c>
    </row>
    <row r="80">
      <c r="A80" s="15" t="inlineStr">
        <is>
          <t>UA758BG</t>
        </is>
      </c>
      <c r="B80" s="21" t="inlineStr">
        <is>
          <t>Online</t>
        </is>
      </c>
      <c r="C80" s="15" t="inlineStr">
        <is>
          <t>-</t>
        </is>
      </c>
      <c r="D80" s="15" t="n">
        <v>0</v>
      </c>
      <c r="E80" s="15" t="inlineStr">
        <is>
          <t>N/A</t>
        </is>
      </c>
      <c r="F80" s="15" t="inlineStr">
        <is>
          <t>Online</t>
        </is>
      </c>
      <c r="G80" s="15" t="inlineStr">
        <is>
          <t>N/A</t>
        </is>
      </c>
      <c r="H80" s="15" t="inlineStr">
        <is>
          <t>No</t>
        </is>
      </c>
      <c r="I80" s="15" t="inlineStr"/>
      <c r="J80" s="15" t="inlineStr"/>
      <c r="K80" s="15" t="inlineStr"/>
      <c r="L80" s="15" t="inlineStr">
        <is>
          <t>None</t>
        </is>
      </c>
      <c r="M80" s="15" t="inlineStr">
        <is>
          <t>Reporting normally on all platforms</t>
        </is>
      </c>
      <c r="N80" s="15" t="inlineStr">
        <is>
          <t>MALABA, KenyaJ7P9+MM9, A109, Malaba, Kenya</t>
        </is>
      </c>
    </row>
    <row r="81">
      <c r="A81" s="15" t="inlineStr">
        <is>
          <t>UBF421U</t>
        </is>
      </c>
      <c r="B81" s="21" t="inlineStr">
        <is>
          <t>Online</t>
        </is>
      </c>
      <c r="C81" s="15" t="inlineStr">
        <is>
          <t>-</t>
        </is>
      </c>
      <c r="D81" s="15" t="n">
        <v>0</v>
      </c>
      <c r="E81" s="15" t="inlineStr">
        <is>
          <t>N/A</t>
        </is>
      </c>
      <c r="F81" s="15" t="inlineStr">
        <is>
          <t>Online</t>
        </is>
      </c>
      <c r="G81" s="15" t="inlineStr">
        <is>
          <t>N/A</t>
        </is>
      </c>
      <c r="H81" s="15" t="inlineStr">
        <is>
          <t>No</t>
        </is>
      </c>
      <c r="I81" s="15" t="inlineStr"/>
      <c r="J81" s="15" t="inlineStr"/>
      <c r="K81" s="15" t="inlineStr"/>
      <c r="L81" s="15" t="inlineStr">
        <is>
          <t>None</t>
        </is>
      </c>
      <c r="M81" s="15" t="inlineStr">
        <is>
          <t>Reporting normally on all platforms</t>
        </is>
      </c>
      <c r="N81" s="15" t="inlineStr">
        <is>
          <t>Maji Ya ChumviMombasa Road, Kenya</t>
        </is>
      </c>
    </row>
    <row r="82">
      <c r="A82" s="15" t="inlineStr">
        <is>
          <t>UBN582C</t>
        </is>
      </c>
      <c r="B82" s="21" t="inlineStr">
        <is>
          <t>Online</t>
        </is>
      </c>
      <c r="C82" s="15" t="inlineStr">
        <is>
          <t>-</t>
        </is>
      </c>
      <c r="D82" s="15" t="n">
        <v>0</v>
      </c>
      <c r="E82" s="15" t="inlineStr">
        <is>
          <t>N/A</t>
        </is>
      </c>
      <c r="F82" s="15" t="inlineStr">
        <is>
          <t>Online</t>
        </is>
      </c>
      <c r="G82" s="15" t="inlineStr">
        <is>
          <t>Online</t>
        </is>
      </c>
      <c r="H82" s="15" t="inlineStr">
        <is>
          <t>No</t>
        </is>
      </c>
      <c r="I82" s="15" t="inlineStr"/>
      <c r="J82" s="15" t="inlineStr"/>
      <c r="K82" s="15" t="inlineStr"/>
      <c r="L82" s="15" t="inlineStr">
        <is>
          <t>None</t>
        </is>
      </c>
      <c r="M82" s="15" t="inlineStr">
        <is>
          <t>Reporting normally on all platforms</t>
        </is>
      </c>
      <c r="N82" s="15" t="inlineStr">
        <is>
          <t>MALABA, UgandaJ7Q5+Q5J, Malaba, Uganda</t>
        </is>
      </c>
    </row>
    <row r="83">
      <c r="A83" s="15" t="inlineStr">
        <is>
          <t>UBN592C</t>
        </is>
      </c>
      <c r="B83" s="21" t="inlineStr">
        <is>
          <t>Online</t>
        </is>
      </c>
      <c r="C83" s="15" t="inlineStr">
        <is>
          <t>-</t>
        </is>
      </c>
      <c r="D83" s="15" t="n">
        <v>0</v>
      </c>
      <c r="E83" s="15" t="inlineStr">
        <is>
          <t>N/A</t>
        </is>
      </c>
      <c r="F83" s="15" t="inlineStr">
        <is>
          <t>Online</t>
        </is>
      </c>
      <c r="G83" s="15" t="inlineStr">
        <is>
          <t>Online</t>
        </is>
      </c>
      <c r="H83" s="15" t="inlineStr">
        <is>
          <t>No</t>
        </is>
      </c>
      <c r="I83" s="15" t="inlineStr"/>
      <c r="J83" s="15" t="inlineStr"/>
      <c r="K83" s="15" t="inlineStr"/>
      <c r="L83" s="15" t="inlineStr">
        <is>
          <t>None</t>
        </is>
      </c>
      <c r="M83" s="15" t="inlineStr">
        <is>
          <t>Reporting normally on all platforms</t>
        </is>
      </c>
      <c r="N83" s="15" t="inlineStr">
        <is>
          <t>Apache YardXJJM+43F, Mombasa, Kenya</t>
        </is>
      </c>
    </row>
    <row r="84">
      <c r="A84" s="15" t="inlineStr">
        <is>
          <t>UBN597C</t>
        </is>
      </c>
      <c r="B84" s="21" t="inlineStr">
        <is>
          <t>Online</t>
        </is>
      </c>
      <c r="C84" s="15" t="inlineStr">
        <is>
          <t>-</t>
        </is>
      </c>
      <c r="D84" s="15" t="n">
        <v>0</v>
      </c>
      <c r="E84" s="15" t="inlineStr">
        <is>
          <t>N/A</t>
        </is>
      </c>
      <c r="F84" s="15" t="inlineStr">
        <is>
          <t>Online</t>
        </is>
      </c>
      <c r="G84" s="15" t="inlineStr">
        <is>
          <t>Online</t>
        </is>
      </c>
      <c r="H84" s="15" t="inlineStr">
        <is>
          <t>No</t>
        </is>
      </c>
      <c r="I84" s="15" t="inlineStr"/>
      <c r="J84" s="15" t="inlineStr"/>
      <c r="K84" s="15" t="inlineStr"/>
      <c r="L84" s="15" t="inlineStr">
        <is>
          <t>None</t>
        </is>
      </c>
      <c r="M84" s="15" t="inlineStr">
        <is>
          <t>Reporting normally on all platforms</t>
        </is>
      </c>
      <c r="N84" s="15" t="inlineStr">
        <is>
          <t>Timboroa, Kenya3G8R+R7C, Mombasa-Malaba Rd, Kenya</t>
        </is>
      </c>
    </row>
    <row r="85">
      <c r="A85" s="15" t="inlineStr">
        <is>
          <t>UA752BG</t>
        </is>
      </c>
      <c r="B85" s="21" t="inlineStr">
        <is>
          <t>Online</t>
        </is>
      </c>
      <c r="C85" s="15" t="inlineStr">
        <is>
          <t>-</t>
        </is>
      </c>
      <c r="D85" s="15" t="n">
        <v>0</v>
      </c>
      <c r="E85" s="15" t="inlineStr">
        <is>
          <t>N/A</t>
        </is>
      </c>
      <c r="F85" s="15" t="inlineStr">
        <is>
          <t>Online</t>
        </is>
      </c>
      <c r="G85" s="15" t="inlineStr">
        <is>
          <t>N/A</t>
        </is>
      </c>
      <c r="H85" s="15" t="inlineStr">
        <is>
          <t>No</t>
        </is>
      </c>
      <c r="I85" s="15" t="inlineStr"/>
      <c r="J85" s="15" t="inlineStr"/>
      <c r="K85" s="15" t="inlineStr"/>
      <c r="L85" s="15" t="inlineStr">
        <is>
          <t>None</t>
        </is>
      </c>
      <c r="M85" s="15" t="inlineStr">
        <is>
          <t>Reporting normally on all platforms</t>
        </is>
      </c>
      <c r="N85" s="15" t="inlineStr">
        <is>
          <t>Southern Bypass, NairobiNgong Forest Rd, Nairobi, Kenya</t>
        </is>
      </c>
    </row>
    <row r="86">
      <c r="A86" s="15" t="inlineStr">
        <is>
          <t>UA524AU</t>
        </is>
      </c>
      <c r="B86" s="21" t="inlineStr">
        <is>
          <t>Online</t>
        </is>
      </c>
      <c r="C86" s="15" t="inlineStr">
        <is>
          <t>-</t>
        </is>
      </c>
      <c r="D86" s="15" t="n">
        <v>0</v>
      </c>
      <c r="E86" s="15" t="inlineStr">
        <is>
          <t>N/A</t>
        </is>
      </c>
      <c r="F86" s="15" t="inlineStr">
        <is>
          <t>Online</t>
        </is>
      </c>
      <c r="G86" s="15" t="inlineStr">
        <is>
          <t>N/A</t>
        </is>
      </c>
      <c r="H86" s="15" t="inlineStr">
        <is>
          <t>No</t>
        </is>
      </c>
      <c r="I86" s="15" t="inlineStr"/>
      <c r="J86" s="15" t="inlineStr"/>
      <c r="K86" s="15" t="inlineStr"/>
      <c r="L86" s="15" t="inlineStr">
        <is>
          <t>None</t>
        </is>
      </c>
      <c r="M86" s="15" t="inlineStr">
        <is>
          <t>Reporting normally on all platforms</t>
        </is>
      </c>
      <c r="N86" s="15" t="inlineStr">
        <is>
          <t>Mau SummitNairobi Rd, Kenya</t>
        </is>
      </c>
    </row>
    <row r="87">
      <c r="A87" s="15" t="inlineStr">
        <is>
          <t>UA750BG</t>
        </is>
      </c>
      <c r="B87" s="21" t="inlineStr">
        <is>
          <t>Online</t>
        </is>
      </c>
      <c r="C87" s="15" t="inlineStr">
        <is>
          <t>-</t>
        </is>
      </c>
      <c r="D87" s="15" t="n">
        <v>0</v>
      </c>
      <c r="E87" s="15" t="inlineStr">
        <is>
          <t>N/A</t>
        </is>
      </c>
      <c r="F87" s="15" t="inlineStr">
        <is>
          <t>Online</t>
        </is>
      </c>
      <c r="G87" s="15" t="inlineStr">
        <is>
          <t>N/A</t>
        </is>
      </c>
      <c r="H87" s="15" t="inlineStr">
        <is>
          <t>No</t>
        </is>
      </c>
      <c r="I87" s="15" t="inlineStr"/>
      <c r="J87" s="15" t="inlineStr"/>
      <c r="K87" s="15" t="inlineStr"/>
      <c r="L87" s="15" t="inlineStr">
        <is>
          <t>None</t>
        </is>
      </c>
      <c r="M87" s="15" t="inlineStr">
        <is>
          <t>Reporting normally on all platforms</t>
        </is>
      </c>
      <c r="N87" s="15" t="inlineStr">
        <is>
          <t>Nakuru, KenyaP2G7+MQ4, Nakuru, Kenya</t>
        </is>
      </c>
    </row>
    <row r="88">
      <c r="A88" s="15" t="inlineStr">
        <is>
          <t>UA753BG</t>
        </is>
      </c>
      <c r="B88" s="21" t="inlineStr">
        <is>
          <t>Online</t>
        </is>
      </c>
      <c r="C88" s="15" t="inlineStr">
        <is>
          <t>-</t>
        </is>
      </c>
      <c r="D88" s="15" t="n">
        <v>0</v>
      </c>
      <c r="E88" s="15" t="inlineStr">
        <is>
          <t>N/A</t>
        </is>
      </c>
      <c r="F88" s="15" t="inlineStr">
        <is>
          <t>Online</t>
        </is>
      </c>
      <c r="G88" s="15" t="inlineStr">
        <is>
          <t>N/A</t>
        </is>
      </c>
      <c r="H88" s="15" t="inlineStr">
        <is>
          <t>No</t>
        </is>
      </c>
      <c r="I88" s="15" t="inlineStr"/>
      <c r="J88" s="15" t="inlineStr"/>
      <c r="K88" s="15" t="inlineStr"/>
      <c r="L88" s="15" t="inlineStr">
        <is>
          <t>None</t>
        </is>
      </c>
      <c r="M88" s="15" t="inlineStr">
        <is>
          <t>Reporting normally on all platforms</t>
        </is>
      </c>
      <c r="N88" s="15" t="inlineStr">
        <is>
          <t>Kibwezi, KenyaMombasa Road, Kenya</t>
        </is>
      </c>
    </row>
    <row r="89">
      <c r="A89" s="15" t="inlineStr">
        <is>
          <t>UA754BG</t>
        </is>
      </c>
      <c r="B89" s="21" t="inlineStr">
        <is>
          <t>Online</t>
        </is>
      </c>
      <c r="C89" s="15" t="inlineStr">
        <is>
          <t>-</t>
        </is>
      </c>
      <c r="D89" s="15" t="n">
        <v>0</v>
      </c>
      <c r="E89" s="15" t="inlineStr">
        <is>
          <t>N/A</t>
        </is>
      </c>
      <c r="F89" s="15" t="inlineStr">
        <is>
          <t>Online</t>
        </is>
      </c>
      <c r="G89" s="15" t="inlineStr">
        <is>
          <t>N/A</t>
        </is>
      </c>
      <c r="H89" s="15" t="inlineStr">
        <is>
          <t>No</t>
        </is>
      </c>
      <c r="I89" s="15" t="inlineStr"/>
      <c r="J89" s="15" t="inlineStr"/>
      <c r="K89" s="15" t="inlineStr"/>
      <c r="L89" s="15" t="inlineStr">
        <is>
          <t>None</t>
        </is>
      </c>
      <c r="M89" s="15" t="inlineStr">
        <is>
          <t>Reporting normally on all platforms</t>
        </is>
      </c>
      <c r="N89" s="15" t="inlineStr">
        <is>
          <t>Longonot, KenyaOld Naivasha Road, Kenya</t>
        </is>
      </c>
    </row>
    <row r="90">
      <c r="A90" s="15" t="inlineStr">
        <is>
          <t>UA755BG</t>
        </is>
      </c>
      <c r="B90" s="21" t="inlineStr">
        <is>
          <t>Online</t>
        </is>
      </c>
      <c r="C90" s="15" t="inlineStr">
        <is>
          <t>-</t>
        </is>
      </c>
      <c r="D90" s="15" t="n">
        <v>0</v>
      </c>
      <c r="E90" s="15" t="inlineStr">
        <is>
          <t>N/A</t>
        </is>
      </c>
      <c r="F90" s="15" t="inlineStr">
        <is>
          <t>Online</t>
        </is>
      </c>
      <c r="G90" s="15" t="inlineStr">
        <is>
          <t>N/A</t>
        </is>
      </c>
      <c r="H90" s="15" t="inlineStr">
        <is>
          <t>No</t>
        </is>
      </c>
      <c r="I90" s="15" t="inlineStr"/>
      <c r="J90" s="15" t="inlineStr"/>
      <c r="K90" s="15" t="inlineStr"/>
      <c r="L90" s="15" t="inlineStr">
        <is>
          <t>None</t>
        </is>
      </c>
      <c r="M90" s="15" t="inlineStr">
        <is>
          <t>Reporting normally on all platforms</t>
        </is>
      </c>
      <c r="N90" s="15" t="inlineStr">
        <is>
          <t>Mtito Andei, KenyaC328+7QP, Kambu, Kenya</t>
        </is>
      </c>
    </row>
    <row r="91">
      <c r="A91" s="15" t="inlineStr">
        <is>
          <t>UA756BG</t>
        </is>
      </c>
      <c r="B91" s="21" t="inlineStr">
        <is>
          <t>Online</t>
        </is>
      </c>
      <c r="C91" s="15" t="inlineStr">
        <is>
          <t>-</t>
        </is>
      </c>
      <c r="D91" s="15" t="n">
        <v>0</v>
      </c>
      <c r="E91" s="15" t="inlineStr">
        <is>
          <t>N/A</t>
        </is>
      </c>
      <c r="F91" s="15" t="inlineStr">
        <is>
          <t>Online</t>
        </is>
      </c>
      <c r="G91" s="15" t="inlineStr">
        <is>
          <t>N/A</t>
        </is>
      </c>
      <c r="H91" s="15" t="inlineStr">
        <is>
          <t>No</t>
        </is>
      </c>
      <c r="I91" s="15" t="inlineStr"/>
      <c r="J91" s="15" t="inlineStr"/>
      <c r="K91" s="15" t="inlineStr"/>
      <c r="L91" s="15" t="inlineStr">
        <is>
          <t>None</t>
        </is>
      </c>
      <c r="M91" s="15" t="inlineStr">
        <is>
          <t>Reporting normally on all platforms</t>
        </is>
      </c>
      <c r="N91" s="15" t="inlineStr">
        <is>
          <t>Kibwezi, KenyaMombasa Road, Kenya</t>
        </is>
      </c>
    </row>
    <row r="92">
      <c r="A92" s="15" t="inlineStr">
        <is>
          <t>UA757BG</t>
        </is>
      </c>
      <c r="B92" s="21" t="inlineStr">
        <is>
          <t>Online</t>
        </is>
      </c>
      <c r="C92" s="15" t="inlineStr">
        <is>
          <t>-</t>
        </is>
      </c>
      <c r="D92" s="15" t="n">
        <v>0</v>
      </c>
      <c r="E92" s="15" t="inlineStr">
        <is>
          <t>N/A</t>
        </is>
      </c>
      <c r="F92" s="15" t="inlineStr">
        <is>
          <t>Online</t>
        </is>
      </c>
      <c r="G92" s="15" t="inlineStr">
        <is>
          <t>N/A</t>
        </is>
      </c>
      <c r="H92" s="15" t="inlineStr">
        <is>
          <t>No</t>
        </is>
      </c>
      <c r="I92" s="15" t="inlineStr"/>
      <c r="J92" s="15" t="inlineStr"/>
      <c r="K92" s="15" t="inlineStr"/>
      <c r="L92" s="15" t="inlineStr">
        <is>
          <t>None</t>
        </is>
      </c>
      <c r="M92" s="15" t="inlineStr">
        <is>
          <t>Reporting normally on all platforms</t>
        </is>
      </c>
      <c r="N92" s="15" t="inlineStr">
        <is>
          <t>Longonot, Kenya6F74+QFG, Old Naivasha Road, Karagita, Kenya</t>
        </is>
      </c>
    </row>
    <row r="93">
      <c r="A93" s="15" t="inlineStr">
        <is>
          <t>UA759BG</t>
        </is>
      </c>
      <c r="B93" s="21" t="inlineStr">
        <is>
          <t>Online</t>
        </is>
      </c>
      <c r="C93" s="15" t="inlineStr">
        <is>
          <t>-</t>
        </is>
      </c>
      <c r="D93" s="15" t="n">
        <v>0</v>
      </c>
      <c r="E93" s="15" t="inlineStr">
        <is>
          <t>N/A</t>
        </is>
      </c>
      <c r="F93" s="15" t="inlineStr">
        <is>
          <t>Online</t>
        </is>
      </c>
      <c r="G93" s="15" t="inlineStr">
        <is>
          <t>N/A</t>
        </is>
      </c>
      <c r="H93" s="15" t="inlineStr">
        <is>
          <t>No</t>
        </is>
      </c>
      <c r="I93" s="15" t="inlineStr"/>
      <c r="J93" s="15" t="inlineStr"/>
      <c r="K93" s="15" t="inlineStr"/>
      <c r="L93" s="15" t="inlineStr">
        <is>
          <t>None</t>
        </is>
      </c>
      <c r="M93" s="15" t="inlineStr">
        <is>
          <t>Reporting normally on all platforms</t>
        </is>
      </c>
      <c r="N93" s="15" t="inlineStr">
        <is>
          <t>Kibwezi, KenyaMombasa Road, Kenya</t>
        </is>
      </c>
    </row>
    <row r="94">
      <c r="A94" s="15" t="inlineStr">
        <is>
          <t>UA763BG</t>
        </is>
      </c>
      <c r="B94" s="21" t="inlineStr">
        <is>
          <t>Online</t>
        </is>
      </c>
      <c r="C94" s="15" t="inlineStr">
        <is>
          <t>-</t>
        </is>
      </c>
      <c r="D94" s="15" t="n">
        <v>0</v>
      </c>
      <c r="E94" s="15" t="inlineStr">
        <is>
          <t>N/A</t>
        </is>
      </c>
      <c r="F94" s="15" t="inlineStr">
        <is>
          <t>Online</t>
        </is>
      </c>
      <c r="G94" s="15" t="inlineStr">
        <is>
          <t>N/A</t>
        </is>
      </c>
      <c r="H94" s="15" t="inlineStr">
        <is>
          <t>No</t>
        </is>
      </c>
      <c r="I94" s="15" t="inlineStr"/>
      <c r="J94" s="15" t="inlineStr"/>
      <c r="K94" s="15" t="inlineStr"/>
      <c r="L94" s="15" t="inlineStr">
        <is>
          <t>None</t>
        </is>
      </c>
      <c r="M94" s="15" t="inlineStr">
        <is>
          <t>Reporting normally on all platforms</t>
        </is>
      </c>
      <c r="N94" s="15" t="inlineStr">
        <is>
          <t>Soroti, UgandaSoroti- Dokolo Road, Uganda</t>
        </is>
      </c>
    </row>
    <row r="95">
      <c r="A95" s="15" t="inlineStr">
        <is>
          <t>UBN584C</t>
        </is>
      </c>
      <c r="B95" s="21" t="inlineStr">
        <is>
          <t>Online</t>
        </is>
      </c>
      <c r="C95" s="15" t="inlineStr">
        <is>
          <t>-</t>
        </is>
      </c>
      <c r="D95" s="15" t="n">
        <v>0</v>
      </c>
      <c r="E95" s="15" t="inlineStr">
        <is>
          <t>N/A</t>
        </is>
      </c>
      <c r="F95" s="15" t="inlineStr">
        <is>
          <t>Online</t>
        </is>
      </c>
      <c r="G95" s="15" t="inlineStr">
        <is>
          <t>N/A</t>
        </is>
      </c>
      <c r="H95" s="15" t="inlineStr">
        <is>
          <t>No</t>
        </is>
      </c>
      <c r="I95" s="15" t="inlineStr"/>
      <c r="J95" s="15" t="inlineStr"/>
      <c r="K95" s="15" t="inlineStr"/>
      <c r="L95" s="15" t="inlineStr">
        <is>
          <t>None</t>
        </is>
      </c>
      <c r="M95" s="15" t="inlineStr">
        <is>
          <t>Reporting normally on all platforms</t>
        </is>
      </c>
      <c r="N95" s="15" t="inlineStr">
        <is>
          <t>Kamdini - Lira, Uganda</t>
        </is>
      </c>
    </row>
    <row r="96">
      <c r="A96" s="15" t="inlineStr">
        <is>
          <t>UBQ373Q</t>
        </is>
      </c>
      <c r="B96" s="21" t="inlineStr">
        <is>
          <t>Online</t>
        </is>
      </c>
      <c r="C96" s="15" t="inlineStr">
        <is>
          <t>-</t>
        </is>
      </c>
      <c r="D96" s="15" t="n">
        <v>0</v>
      </c>
      <c r="E96" s="15" t="inlineStr">
        <is>
          <t>N/A</t>
        </is>
      </c>
      <c r="F96" s="15" t="inlineStr">
        <is>
          <t>Online</t>
        </is>
      </c>
      <c r="G96" s="15" t="inlineStr">
        <is>
          <t>Online</t>
        </is>
      </c>
      <c r="H96" s="15" t="inlineStr">
        <is>
          <t>No</t>
        </is>
      </c>
      <c r="I96" s="15" t="inlineStr"/>
      <c r="J96" s="15" t="inlineStr"/>
      <c r="K96" s="15" t="inlineStr"/>
      <c r="L96" s="15" t="inlineStr">
        <is>
          <t>None</t>
        </is>
      </c>
      <c r="M96" s="15" t="inlineStr">
        <is>
          <t>Reporting normally on all platforms</t>
        </is>
      </c>
      <c r="N96" s="15" t="inlineStr">
        <is>
          <t>MALABA, UgandaJ7Q5+Q5J, Malaba, Uganda</t>
        </is>
      </c>
    </row>
    <row r="97">
      <c r="A97" s="15" t="inlineStr">
        <is>
          <t>UBQ376Q</t>
        </is>
      </c>
      <c r="B97" s="21" t="inlineStr">
        <is>
          <t>Online</t>
        </is>
      </c>
      <c r="C97" s="15" t="inlineStr">
        <is>
          <t>-</t>
        </is>
      </c>
      <c r="D97" s="15" t="n">
        <v>0</v>
      </c>
      <c r="E97" s="15" t="inlineStr">
        <is>
          <t>N/A</t>
        </is>
      </c>
      <c r="F97" s="15" t="inlineStr">
        <is>
          <t>Online</t>
        </is>
      </c>
      <c r="G97" s="15" t="inlineStr">
        <is>
          <t>Online</t>
        </is>
      </c>
      <c r="H97" s="15" t="inlineStr">
        <is>
          <t>No</t>
        </is>
      </c>
      <c r="I97" s="15" t="inlineStr"/>
      <c r="J97" s="15" t="inlineStr"/>
      <c r="K97" s="15" t="inlineStr"/>
      <c r="L97" s="15" t="inlineStr">
        <is>
          <t>None</t>
        </is>
      </c>
      <c r="M97" s="15" t="inlineStr">
        <is>
          <t>Reporting normally on all platforms</t>
        </is>
      </c>
      <c r="N97" s="15" t="inlineStr">
        <is>
          <t>MALABA, KenyaKenya Revenue Authority, A 109, Malaba, Uganda</t>
        </is>
      </c>
    </row>
    <row r="98">
      <c r="A98" s="15" t="inlineStr">
        <is>
          <t>UBQ430U</t>
        </is>
      </c>
      <c r="B98" s="21" t="inlineStr">
        <is>
          <t>Online</t>
        </is>
      </c>
      <c r="C98" s="15" t="inlineStr">
        <is>
          <t>-</t>
        </is>
      </c>
      <c r="D98" s="15" t="n">
        <v>0</v>
      </c>
      <c r="E98" s="15" t="inlineStr">
        <is>
          <t>N/A</t>
        </is>
      </c>
      <c r="F98" s="15" t="inlineStr">
        <is>
          <t>Online</t>
        </is>
      </c>
      <c r="G98" s="15" t="inlineStr">
        <is>
          <t>N/A</t>
        </is>
      </c>
      <c r="H98" s="15" t="inlineStr">
        <is>
          <t>No</t>
        </is>
      </c>
      <c r="I98" s="15" t="inlineStr"/>
      <c r="J98" s="15" t="inlineStr"/>
      <c r="K98" s="15" t="inlineStr"/>
      <c r="L98" s="15" t="inlineStr">
        <is>
          <t>None</t>
        </is>
      </c>
      <c r="M98" s="15" t="inlineStr">
        <is>
          <t>Reporting normally on all platforms</t>
        </is>
      </c>
      <c r="N98" s="15" t="inlineStr">
        <is>
          <t>MALABA, KenyaJ7P9+FF9, C43, Malaba, Kenya</t>
        </is>
      </c>
    </row>
    <row r="99">
      <c r="A99" s="15" t="inlineStr">
        <is>
          <t>UBQ538X</t>
        </is>
      </c>
      <c r="B99" s="21" t="inlineStr">
        <is>
          <t>Online</t>
        </is>
      </c>
      <c r="C99" s="15" t="inlineStr">
        <is>
          <t>-</t>
        </is>
      </c>
      <c r="D99" s="15" t="n">
        <v>0</v>
      </c>
      <c r="E99" s="15" t="inlineStr">
        <is>
          <t>N/A</t>
        </is>
      </c>
      <c r="F99" s="15" t="inlineStr">
        <is>
          <t>Online</t>
        </is>
      </c>
      <c r="G99" s="15" t="inlineStr">
        <is>
          <t>N/A</t>
        </is>
      </c>
      <c r="H99" s="15" t="inlineStr">
        <is>
          <t>No</t>
        </is>
      </c>
      <c r="I99" s="15" t="inlineStr"/>
      <c r="J99" s="15" t="inlineStr"/>
      <c r="K99" s="15" t="inlineStr"/>
      <c r="L99" s="15" t="inlineStr">
        <is>
          <t>None</t>
        </is>
      </c>
      <c r="M99" s="15" t="inlineStr">
        <is>
          <t>Reporting normally on all platforms</t>
        </is>
      </c>
      <c r="N99" s="15" t="inlineStr">
        <is>
          <t>Soroti- Dokolo Road, Uganda</t>
        </is>
      </c>
    </row>
    <row r="100">
      <c r="A100" s="15" t="inlineStr">
        <is>
          <t>UBQ544X</t>
        </is>
      </c>
      <c r="B100" s="21" t="inlineStr">
        <is>
          <t>Online</t>
        </is>
      </c>
      <c r="C100" s="15" t="inlineStr">
        <is>
          <t>-</t>
        </is>
      </c>
      <c r="D100" s="15" t="n">
        <v>0</v>
      </c>
      <c r="E100" s="15" t="inlineStr">
        <is>
          <t>N/A</t>
        </is>
      </c>
      <c r="F100" s="15" t="inlineStr">
        <is>
          <t>Online</t>
        </is>
      </c>
      <c r="G100" s="15" t="inlineStr">
        <is>
          <t>N/A</t>
        </is>
      </c>
      <c r="H100" s="15" t="inlineStr">
        <is>
          <t>No</t>
        </is>
      </c>
      <c r="I100" s="15" t="inlineStr"/>
      <c r="J100" s="15" t="inlineStr"/>
      <c r="K100" s="15" t="inlineStr"/>
      <c r="L100" s="15" t="inlineStr">
        <is>
          <t>None</t>
        </is>
      </c>
      <c r="M100" s="15" t="inlineStr">
        <is>
          <t>Reporting normally on all platforms</t>
        </is>
      </c>
      <c r="N100" s="15" t="inlineStr">
        <is>
          <t>NOTCO YARD, MombasaXJ9J+PV5, Mombasa Road, Mombasa, Kenya</t>
        </is>
      </c>
    </row>
    <row r="101">
      <c r="A101" s="15" t="inlineStr">
        <is>
          <t>UBQ546X</t>
        </is>
      </c>
      <c r="B101" s="21" t="inlineStr">
        <is>
          <t>Online</t>
        </is>
      </c>
      <c r="C101" s="15" t="inlineStr">
        <is>
          <t>-</t>
        </is>
      </c>
      <c r="D101" s="15" t="n">
        <v>0</v>
      </c>
      <c r="E101" s="15" t="inlineStr">
        <is>
          <t>N/A</t>
        </is>
      </c>
      <c r="F101" s="15" t="inlineStr">
        <is>
          <t>Online</t>
        </is>
      </c>
      <c r="G101" s="15" t="inlineStr">
        <is>
          <t>N/A</t>
        </is>
      </c>
      <c r="H101" s="15" t="inlineStr">
        <is>
          <t>No</t>
        </is>
      </c>
      <c r="I101" s="15" t="inlineStr"/>
      <c r="J101" s="15" t="inlineStr"/>
      <c r="K101" s="15" t="inlineStr"/>
      <c r="L101" s="15" t="inlineStr">
        <is>
          <t>None</t>
        </is>
      </c>
      <c r="M101" s="15" t="inlineStr">
        <is>
          <t>Reporting normally on all platforms</t>
        </is>
      </c>
      <c r="N101" s="15" t="inlineStr">
        <is>
          <t>Kamdini - Lira, Uganda</t>
        </is>
      </c>
    </row>
    <row r="102">
      <c r="A102" s="15" t="inlineStr">
        <is>
          <t>UBQ547X</t>
        </is>
      </c>
      <c r="B102" s="21" t="inlineStr">
        <is>
          <t>Online</t>
        </is>
      </c>
      <c r="C102" s="15" t="inlineStr">
        <is>
          <t>-</t>
        </is>
      </c>
      <c r="D102" s="15" t="n">
        <v>0</v>
      </c>
      <c r="E102" s="15" t="inlineStr">
        <is>
          <t>N/A</t>
        </is>
      </c>
      <c r="F102" s="15" t="inlineStr">
        <is>
          <t>Online</t>
        </is>
      </c>
      <c r="G102" s="15" t="inlineStr">
        <is>
          <t>N/A</t>
        </is>
      </c>
      <c r="H102" s="15" t="inlineStr">
        <is>
          <t>No</t>
        </is>
      </c>
      <c r="I102" s="15" t="inlineStr"/>
      <c r="J102" s="15" t="inlineStr"/>
      <c r="K102" s="15" t="inlineStr"/>
      <c r="L102" s="15" t="inlineStr">
        <is>
          <t>None</t>
        </is>
      </c>
      <c r="M102" s="15" t="inlineStr">
        <is>
          <t>Reporting normally on all platforms</t>
        </is>
      </c>
      <c r="N102" s="15" t="inlineStr">
        <is>
          <t>Soroti- Dokolo Road, Uganda</t>
        </is>
      </c>
    </row>
    <row r="103">
      <c r="A103" s="15" t="inlineStr">
        <is>
          <t>UBQ759P</t>
        </is>
      </c>
      <c r="B103" s="21" t="inlineStr">
        <is>
          <t>Online</t>
        </is>
      </c>
      <c r="C103" s="15" t="inlineStr">
        <is>
          <t>-</t>
        </is>
      </c>
      <c r="D103" s="15" t="n">
        <v>0</v>
      </c>
      <c r="E103" s="15" t="inlineStr">
        <is>
          <t>N/A</t>
        </is>
      </c>
      <c r="F103" s="15" t="inlineStr">
        <is>
          <t>Online</t>
        </is>
      </c>
      <c r="G103" s="15" t="inlineStr">
        <is>
          <t>Online</t>
        </is>
      </c>
      <c r="H103" s="15" t="inlineStr">
        <is>
          <t>No</t>
        </is>
      </c>
      <c r="I103" s="15" t="inlineStr"/>
      <c r="J103" s="15" t="inlineStr"/>
      <c r="K103" s="15" t="inlineStr"/>
      <c r="L103" s="15" t="inlineStr">
        <is>
          <t>None</t>
        </is>
      </c>
      <c r="M103" s="15" t="inlineStr">
        <is>
          <t>Reporting normally on all platforms</t>
        </is>
      </c>
      <c r="N103" s="15" t="inlineStr">
        <is>
          <t>Port Reitz, MombasaXJ5J+FP5, Mombasa, Kenya</t>
        </is>
      </c>
    </row>
    <row r="104">
      <c r="A104" s="15" t="inlineStr">
        <is>
          <t>UBQ760P</t>
        </is>
      </c>
      <c r="B104" s="21" t="inlineStr">
        <is>
          <t>Online</t>
        </is>
      </c>
      <c r="C104" s="15" t="inlineStr">
        <is>
          <t>-</t>
        </is>
      </c>
      <c r="D104" s="15" t="n">
        <v>0</v>
      </c>
      <c r="E104" s="15" t="inlineStr">
        <is>
          <t>N/A</t>
        </is>
      </c>
      <c r="F104" s="15" t="inlineStr">
        <is>
          <t>Online</t>
        </is>
      </c>
      <c r="G104" s="15" t="inlineStr">
        <is>
          <t>N/A</t>
        </is>
      </c>
      <c r="H104" s="15" t="inlineStr">
        <is>
          <t>No</t>
        </is>
      </c>
      <c r="I104" s="15" t="inlineStr"/>
      <c r="J104" s="15" t="inlineStr"/>
      <c r="K104" s="15" t="inlineStr"/>
      <c r="L104" s="15" t="inlineStr">
        <is>
          <t>None</t>
        </is>
      </c>
      <c r="M104" s="15" t="inlineStr">
        <is>
          <t>Reporting normally on all platforms</t>
        </is>
      </c>
      <c r="N104" s="15" t="inlineStr">
        <is>
          <t>SEETA9P85+QR9, Kampala-Jinja Expy, Seeta, Uganda</t>
        </is>
      </c>
    </row>
    <row r="105">
      <c r="A105" s="15" t="inlineStr">
        <is>
          <t>UBQ761P</t>
        </is>
      </c>
      <c r="B105" s="21" t="inlineStr">
        <is>
          <t>Online</t>
        </is>
      </c>
      <c r="C105" s="15" t="inlineStr">
        <is>
          <t>-</t>
        </is>
      </c>
      <c r="D105" s="15" t="n">
        <v>0</v>
      </c>
      <c r="E105" s="15" t="inlineStr">
        <is>
          <t>N/A</t>
        </is>
      </c>
      <c r="F105" s="15" t="inlineStr">
        <is>
          <t>Online</t>
        </is>
      </c>
      <c r="G105" s="15" t="inlineStr">
        <is>
          <t>N/A</t>
        </is>
      </c>
      <c r="H105" s="15" t="inlineStr">
        <is>
          <t>No</t>
        </is>
      </c>
      <c r="I105" s="15" t="inlineStr"/>
      <c r="J105" s="15" t="inlineStr"/>
      <c r="K105" s="15" t="inlineStr"/>
      <c r="L105" s="15" t="inlineStr">
        <is>
          <t>None</t>
        </is>
      </c>
      <c r="M105" s="15" t="inlineStr">
        <is>
          <t>Reporting normally on all platforms</t>
        </is>
      </c>
      <c r="N105" s="15" t="inlineStr">
        <is>
          <t>MALABA, UgandaJ7Q5+Q5J, Malaba, Uganda</t>
        </is>
      </c>
    </row>
    <row r="106">
      <c r="A106" s="15" t="inlineStr">
        <is>
          <t>UBQ765P</t>
        </is>
      </c>
      <c r="B106" s="21" t="inlineStr">
        <is>
          <t>Online</t>
        </is>
      </c>
      <c r="C106" s="15" t="inlineStr">
        <is>
          <t>-</t>
        </is>
      </c>
      <c r="D106" s="15" t="n">
        <v>0</v>
      </c>
      <c r="E106" s="15" t="inlineStr">
        <is>
          <t>N/A</t>
        </is>
      </c>
      <c r="F106" s="15" t="inlineStr">
        <is>
          <t>Online</t>
        </is>
      </c>
      <c r="G106" s="15" t="inlineStr">
        <is>
          <t>N/A</t>
        </is>
      </c>
      <c r="H106" s="15" t="inlineStr">
        <is>
          <t>No</t>
        </is>
      </c>
      <c r="I106" s="15" t="inlineStr"/>
      <c r="J106" s="15" t="inlineStr"/>
      <c r="K106" s="15" t="inlineStr"/>
      <c r="L106" s="15" t="inlineStr">
        <is>
          <t>None</t>
        </is>
      </c>
      <c r="M106" s="15" t="inlineStr">
        <is>
          <t>Reporting normally on all platforms</t>
        </is>
      </c>
      <c r="N106" s="15" t="inlineStr">
        <is>
          <t>Soroti, UgandaPHXF+MVJ, Soroti, Uganda</t>
        </is>
      </c>
    </row>
    <row r="107">
      <c r="A107" s="15" t="inlineStr">
        <is>
          <t>UBH119M</t>
        </is>
      </c>
      <c r="B107" s="21" t="inlineStr">
        <is>
          <t>Online</t>
        </is>
      </c>
      <c r="C107" s="15" t="inlineStr">
        <is>
          <t>-</t>
        </is>
      </c>
      <c r="D107" s="15" t="n">
        <v>0</v>
      </c>
      <c r="E107" s="15" t="inlineStr">
        <is>
          <t>N/A</t>
        </is>
      </c>
      <c r="F107" s="15" t="inlineStr">
        <is>
          <t>Online</t>
        </is>
      </c>
      <c r="G107" s="15" t="inlineStr">
        <is>
          <t>N/A</t>
        </is>
      </c>
      <c r="H107" s="15" t="inlineStr">
        <is>
          <t>No</t>
        </is>
      </c>
      <c r="I107" s="15" t="inlineStr"/>
      <c r="J107" s="15" t="inlineStr"/>
      <c r="K107" s="15" t="inlineStr"/>
      <c r="L107" s="15" t="inlineStr">
        <is>
          <t>None</t>
        </is>
      </c>
      <c r="M107" s="15" t="inlineStr">
        <is>
          <t>Reporting normally on all platforms</t>
        </is>
      </c>
      <c r="N107" s="15" t="inlineStr">
        <is>
          <t>NH20, Kayunga, Uganda</t>
        </is>
      </c>
    </row>
    <row r="108">
      <c r="A108" s="15" t="inlineStr">
        <is>
          <t>UBH989L</t>
        </is>
      </c>
      <c r="B108" s="21" t="inlineStr">
        <is>
          <t>Online</t>
        </is>
      </c>
      <c r="C108" s="15" t="inlineStr">
        <is>
          <t>-</t>
        </is>
      </c>
      <c r="D108" s="15" t="n">
        <v>0</v>
      </c>
      <c r="E108" s="15" t="inlineStr">
        <is>
          <t>N/A</t>
        </is>
      </c>
      <c r="F108" s="15" t="inlineStr">
        <is>
          <t>Online</t>
        </is>
      </c>
      <c r="G108" s="15" t="inlineStr">
        <is>
          <t>N/A</t>
        </is>
      </c>
      <c r="H108" s="15" t="inlineStr">
        <is>
          <t>No</t>
        </is>
      </c>
      <c r="I108" s="15" t="inlineStr"/>
      <c r="J108" s="15" t="inlineStr"/>
      <c r="K108" s="15" t="inlineStr"/>
      <c r="L108" s="15" t="inlineStr">
        <is>
          <t>None</t>
        </is>
      </c>
      <c r="M108" s="15" t="inlineStr">
        <is>
          <t>Reporting normally on all platforms</t>
        </is>
      </c>
      <c r="N108" s="15" t="inlineStr">
        <is>
          <t>Port Reitz, MombasaXJ5J+FP5, Mombasa, Kenya</t>
        </is>
      </c>
    </row>
    <row r="109">
      <c r="A109" s="15" t="inlineStr">
        <is>
          <t>UBF238N</t>
        </is>
      </c>
      <c r="B109" s="21" t="inlineStr">
        <is>
          <t>Online</t>
        </is>
      </c>
      <c r="C109" s="15" t="inlineStr">
        <is>
          <t>-</t>
        </is>
      </c>
      <c r="D109" s="15" t="n">
        <v>0</v>
      </c>
      <c r="E109" s="15" t="inlineStr">
        <is>
          <t>N/A</t>
        </is>
      </c>
      <c r="F109" s="15" t="inlineStr">
        <is>
          <t>Online</t>
        </is>
      </c>
      <c r="G109" s="15" t="inlineStr">
        <is>
          <t>N/A</t>
        </is>
      </c>
      <c r="H109" s="15" t="inlineStr">
        <is>
          <t>No</t>
        </is>
      </c>
      <c r="I109" s="15" t="inlineStr"/>
      <c r="J109" s="15" t="inlineStr"/>
      <c r="K109" s="15" t="inlineStr"/>
      <c r="L109" s="15" t="inlineStr">
        <is>
          <t>None</t>
        </is>
      </c>
      <c r="M109" s="15" t="inlineStr">
        <is>
          <t>Reporting normally on all platforms</t>
        </is>
      </c>
      <c r="N109" s="15" t="inlineStr">
        <is>
          <t>Tilenga, BuliisaUnnamed Road, Kimoli, Uganda</t>
        </is>
      </c>
    </row>
    <row r="110">
      <c r="A110" s="15" t="inlineStr">
        <is>
          <t>UBF416N</t>
        </is>
      </c>
      <c r="B110" s="21" t="inlineStr">
        <is>
          <t>Online</t>
        </is>
      </c>
      <c r="C110" s="15" t="inlineStr">
        <is>
          <t>-</t>
        </is>
      </c>
      <c r="D110" s="15" t="n">
        <v>0</v>
      </c>
      <c r="E110" s="15" t="inlineStr">
        <is>
          <t>N/A</t>
        </is>
      </c>
      <c r="F110" s="15" t="inlineStr">
        <is>
          <t>Online</t>
        </is>
      </c>
      <c r="G110" s="15" t="inlineStr">
        <is>
          <t>N/A</t>
        </is>
      </c>
      <c r="H110" s="15" t="inlineStr">
        <is>
          <t>No</t>
        </is>
      </c>
      <c r="I110" s="15" t="inlineStr"/>
      <c r="J110" s="15" t="inlineStr"/>
      <c r="K110" s="15" t="inlineStr"/>
      <c r="L110" s="15" t="inlineStr">
        <is>
          <t>None</t>
        </is>
      </c>
      <c r="M110" s="15" t="inlineStr">
        <is>
          <t>Reporting normally on all platforms</t>
        </is>
      </c>
      <c r="N110" s="15" t="inlineStr">
        <is>
          <t>Tilenga, BuliisaUnnamed Road, Kimoli, Uganda</t>
        </is>
      </c>
    </row>
    <row r="111">
      <c r="A111" s="15" t="inlineStr">
        <is>
          <t>UBE914F</t>
        </is>
      </c>
      <c r="B111" s="21" t="inlineStr">
        <is>
          <t>Online</t>
        </is>
      </c>
      <c r="C111" s="15" t="inlineStr">
        <is>
          <t>-</t>
        </is>
      </c>
      <c r="D111" s="15" t="n">
        <v>0</v>
      </c>
      <c r="E111" s="15" t="inlineStr">
        <is>
          <t>N/A</t>
        </is>
      </c>
      <c r="F111" s="15" t="inlineStr">
        <is>
          <t>Online</t>
        </is>
      </c>
      <c r="G111" s="15" t="inlineStr">
        <is>
          <t>N/A</t>
        </is>
      </c>
      <c r="H111" s="15" t="inlineStr">
        <is>
          <t>No</t>
        </is>
      </c>
      <c r="I111" s="15" t="inlineStr"/>
      <c r="J111" s="15" t="inlineStr"/>
      <c r="K111" s="15" t="inlineStr"/>
      <c r="L111" s="15" t="inlineStr">
        <is>
          <t>None</t>
        </is>
      </c>
      <c r="M111" s="15" t="inlineStr">
        <is>
          <t>Reporting normally on all platforms</t>
        </is>
      </c>
      <c r="N111" s="15" t="inlineStr">
        <is>
          <t>9PCG+269, Kampala, Uganda</t>
        </is>
      </c>
    </row>
    <row r="112">
      <c r="A112" s="15" t="inlineStr">
        <is>
          <t>UAR919B</t>
        </is>
      </c>
      <c r="B112" s="21" t="inlineStr">
        <is>
          <t>Online</t>
        </is>
      </c>
      <c r="C112" s="15" t="inlineStr">
        <is>
          <t>-</t>
        </is>
      </c>
      <c r="D112" s="15" t="n">
        <v>0</v>
      </c>
      <c r="E112" s="15" t="inlineStr">
        <is>
          <t>N/A</t>
        </is>
      </c>
      <c r="F112" s="15" t="inlineStr">
        <is>
          <t>Online</t>
        </is>
      </c>
      <c r="G112" s="15" t="inlineStr">
        <is>
          <t>N/A</t>
        </is>
      </c>
      <c r="H112" s="15" t="inlineStr">
        <is>
          <t>No</t>
        </is>
      </c>
      <c r="I112" s="15" t="inlineStr"/>
      <c r="J112" s="15" t="inlineStr"/>
      <c r="K112" s="15" t="inlineStr"/>
      <c r="L112" s="15" t="inlineStr">
        <is>
          <t>None</t>
        </is>
      </c>
      <c r="M112" s="15" t="inlineStr">
        <is>
          <t>Reporting normally on all platforms</t>
        </is>
      </c>
      <c r="N112" s="15" t="inlineStr">
        <is>
          <t>Maji Ya ChumviMombasa Road, Kenya</t>
        </is>
      </c>
    </row>
    <row r="113">
      <c r="A113" s="15" t="inlineStr">
        <is>
          <t>UA865DW</t>
        </is>
      </c>
      <c r="B113" s="21" t="inlineStr">
        <is>
          <t>Online</t>
        </is>
      </c>
      <c r="C113" s="15" t="inlineStr">
        <is>
          <t>-</t>
        </is>
      </c>
      <c r="D113" s="15" t="n">
        <v>0</v>
      </c>
      <c r="E113" s="15" t="inlineStr">
        <is>
          <t>N/A</t>
        </is>
      </c>
      <c r="F113" s="15" t="inlineStr">
        <is>
          <t>Online</t>
        </is>
      </c>
      <c r="G113" s="15" t="inlineStr">
        <is>
          <t>N/A</t>
        </is>
      </c>
      <c r="H113" s="15" t="inlineStr">
        <is>
          <t>No</t>
        </is>
      </c>
      <c r="I113" s="15" t="inlineStr"/>
      <c r="J113" s="15" t="inlineStr"/>
      <c r="K113" s="15" t="inlineStr"/>
      <c r="L113" s="15" t="inlineStr">
        <is>
          <t>None</t>
        </is>
      </c>
      <c r="M113" s="15" t="inlineStr">
        <is>
          <t>Reporting normally on all platforms</t>
        </is>
      </c>
      <c r="N113" s="15" t="inlineStr">
        <is>
          <t>9MHF+37, Kampala, Uganda</t>
        </is>
      </c>
    </row>
    <row r="114">
      <c r="A114" s="15" t="inlineStr">
        <is>
          <t>UAJ847C</t>
        </is>
      </c>
      <c r="B114" s="21" t="inlineStr">
        <is>
          <t>Online</t>
        </is>
      </c>
      <c r="C114" s="15" t="inlineStr">
        <is>
          <t>-</t>
        </is>
      </c>
      <c r="D114" s="15" t="n">
        <v>0</v>
      </c>
      <c r="E114" s="15" t="inlineStr">
        <is>
          <t>N/A</t>
        </is>
      </c>
      <c r="F114" s="15" t="inlineStr">
        <is>
          <t>Online</t>
        </is>
      </c>
      <c r="G114" s="15" t="inlineStr">
        <is>
          <t>N/A</t>
        </is>
      </c>
      <c r="H114" s="15" t="inlineStr">
        <is>
          <t>No</t>
        </is>
      </c>
      <c r="I114" s="15" t="inlineStr"/>
      <c r="J114" s="15" t="inlineStr"/>
      <c r="K114" s="15" t="inlineStr"/>
      <c r="L114" s="15" t="inlineStr">
        <is>
          <t>None</t>
        </is>
      </c>
      <c r="M114" s="15" t="inlineStr">
        <is>
          <t>Reporting normally on all platforms</t>
        </is>
      </c>
      <c r="N114" s="15" t="inlineStr">
        <is>
          <t>GTL Butto YardAchon Cl, Uganda</t>
        </is>
      </c>
    </row>
    <row r="115">
      <c r="A115" s="15" t="inlineStr">
        <is>
          <t>UBG864M</t>
        </is>
      </c>
      <c r="B115" s="21" t="inlineStr">
        <is>
          <t>Online</t>
        </is>
      </c>
      <c r="C115" s="15" t="inlineStr">
        <is>
          <t>-</t>
        </is>
      </c>
      <c r="D115" s="15" t="n">
        <v>0</v>
      </c>
      <c r="E115" s="15" t="inlineStr">
        <is>
          <t>N/A</t>
        </is>
      </c>
      <c r="F115" s="15" t="inlineStr">
        <is>
          <t>Online</t>
        </is>
      </c>
      <c r="G115" s="15" t="inlineStr">
        <is>
          <t>N/A</t>
        </is>
      </c>
      <c r="H115" s="15" t="inlineStr">
        <is>
          <t>No</t>
        </is>
      </c>
      <c r="I115" s="15" t="inlineStr"/>
      <c r="J115" s="15" t="inlineStr"/>
      <c r="K115" s="15" t="inlineStr"/>
      <c r="L115" s="15" t="inlineStr">
        <is>
          <t>None</t>
        </is>
      </c>
      <c r="M115" s="15" t="inlineStr">
        <is>
          <t>Reporting normally on all platforms</t>
        </is>
      </c>
      <c r="N115" s="15" t="inlineStr">
        <is>
          <t>9MJC+3V8, Kampala, Uganda</t>
        </is>
      </c>
    </row>
    <row r="116">
      <c r="A116" s="15" t="inlineStr">
        <is>
          <t>UA841AZ</t>
        </is>
      </c>
      <c r="B116" s="21" t="inlineStr">
        <is>
          <t>Online</t>
        </is>
      </c>
      <c r="C116" s="15" t="inlineStr">
        <is>
          <t>-</t>
        </is>
      </c>
      <c r="D116" s="15" t="n">
        <v>0</v>
      </c>
      <c r="E116" s="15" t="inlineStr">
        <is>
          <t>N/A</t>
        </is>
      </c>
      <c r="F116" s="15" t="inlineStr">
        <is>
          <t>Online</t>
        </is>
      </c>
      <c r="G116" s="15" t="inlineStr">
        <is>
          <t>N/A</t>
        </is>
      </c>
      <c r="H116" s="15" t="inlineStr">
        <is>
          <t>No</t>
        </is>
      </c>
      <c r="I116" s="15" t="inlineStr"/>
      <c r="J116" s="15" t="inlineStr"/>
      <c r="K116" s="15" t="inlineStr"/>
      <c r="L116" s="15" t="inlineStr">
        <is>
          <t>None</t>
        </is>
      </c>
      <c r="M116" s="15" t="inlineStr">
        <is>
          <t>Reporting normally on all platforms</t>
        </is>
      </c>
      <c r="N116" s="15" t="inlineStr">
        <is>
          <t>Kenfreight Namanve, Uganda10101 Kireku Mpya Rd, Kampala, Uganda</t>
        </is>
      </c>
    </row>
    <row r="117">
      <c r="A117" s="15" t="inlineStr">
        <is>
          <t>KCU032Y</t>
        </is>
      </c>
      <c r="B117" s="21" t="inlineStr">
        <is>
          <t>Online</t>
        </is>
      </c>
      <c r="C117" s="15" t="inlineStr">
        <is>
          <t>-</t>
        </is>
      </c>
      <c r="D117" s="15" t="n">
        <v>0</v>
      </c>
      <c r="E117" s="15" t="inlineStr">
        <is>
          <t>N/A</t>
        </is>
      </c>
      <c r="F117" s="15" t="inlineStr">
        <is>
          <t>Online</t>
        </is>
      </c>
      <c r="G117" s="15" t="inlineStr">
        <is>
          <t>N/A</t>
        </is>
      </c>
      <c r="H117" s="15" t="inlineStr">
        <is>
          <t>No</t>
        </is>
      </c>
      <c r="I117" s="15" t="inlineStr"/>
      <c r="J117" s="15" t="inlineStr"/>
      <c r="K117" s="15" t="inlineStr"/>
      <c r="L117" s="15" t="inlineStr">
        <is>
          <t>None</t>
        </is>
      </c>
      <c r="M117" s="15" t="inlineStr">
        <is>
          <t>Reporting normally on all platforms</t>
        </is>
      </c>
      <c r="N117" s="15" t="inlineStr">
        <is>
          <t>Mombasa, KenyaXJ68+7VR, Mombasa, Kenya</t>
        </is>
      </c>
    </row>
    <row r="118">
      <c r="A118" s="15" t="inlineStr">
        <is>
          <t>KCU037Y</t>
        </is>
      </c>
      <c r="B118" s="21" t="inlineStr">
        <is>
          <t>Online</t>
        </is>
      </c>
      <c r="C118" s="15" t="inlineStr">
        <is>
          <t>-</t>
        </is>
      </c>
      <c r="D118" s="15" t="n">
        <v>0</v>
      </c>
      <c r="E118" s="15" t="inlineStr">
        <is>
          <t>N/A</t>
        </is>
      </c>
      <c r="F118" s="15" t="inlineStr">
        <is>
          <t>Online</t>
        </is>
      </c>
      <c r="G118" s="15" t="inlineStr">
        <is>
          <t>N/A</t>
        </is>
      </c>
      <c r="H118" s="15" t="inlineStr">
        <is>
          <t>No</t>
        </is>
      </c>
      <c r="I118" s="15" t="inlineStr"/>
      <c r="J118" s="15" t="inlineStr"/>
      <c r="K118" s="15" t="inlineStr"/>
      <c r="L118" s="15" t="inlineStr">
        <is>
          <t>None</t>
        </is>
      </c>
      <c r="M118" s="15" t="inlineStr">
        <is>
          <t>Reporting normally on all platforms</t>
        </is>
      </c>
      <c r="N118" s="15" t="inlineStr">
        <is>
          <t>Jinja, Uganda46 Oboja Rd, Jinja, Uganda</t>
        </is>
      </c>
    </row>
    <row r="119">
      <c r="A119" s="15" t="inlineStr">
        <is>
          <t>KCU039Y</t>
        </is>
      </c>
      <c r="B119" s="21" t="inlineStr">
        <is>
          <t>Online</t>
        </is>
      </c>
      <c r="C119" s="15" t="inlineStr">
        <is>
          <t>-</t>
        </is>
      </c>
      <c r="D119" s="15" t="n">
        <v>0</v>
      </c>
      <c r="E119" s="15" t="inlineStr">
        <is>
          <t>N/A</t>
        </is>
      </c>
      <c r="F119" s="15" t="inlineStr">
        <is>
          <t>Online</t>
        </is>
      </c>
      <c r="G119" s="15" t="inlineStr">
        <is>
          <t>N/A</t>
        </is>
      </c>
      <c r="H119" s="15" t="inlineStr">
        <is>
          <t>No</t>
        </is>
      </c>
      <c r="I119" s="15" t="inlineStr"/>
      <c r="J119" s="15" t="inlineStr"/>
      <c r="K119" s="15" t="inlineStr"/>
      <c r="L119" s="15" t="inlineStr">
        <is>
          <t>None</t>
        </is>
      </c>
      <c r="M119" s="15" t="inlineStr">
        <is>
          <t>Reporting normally on all platforms</t>
        </is>
      </c>
      <c r="N119" s="15" t="inlineStr">
        <is>
          <t>Mtito Andei17 Mtito Andei Road, Nairobi, Kenya</t>
        </is>
      </c>
    </row>
    <row r="120">
      <c r="A120" s="15" t="inlineStr">
        <is>
          <t>KCU043Y</t>
        </is>
      </c>
      <c r="B120" s="21" t="inlineStr">
        <is>
          <t>Online</t>
        </is>
      </c>
      <c r="C120" s="15" t="inlineStr">
        <is>
          <t>-</t>
        </is>
      </c>
      <c r="D120" s="15" t="n">
        <v>0</v>
      </c>
      <c r="E120" s="15" t="inlineStr">
        <is>
          <t>N/A</t>
        </is>
      </c>
      <c r="F120" s="15" t="inlineStr">
        <is>
          <t>Online</t>
        </is>
      </c>
      <c r="G120" s="15" t="inlineStr">
        <is>
          <t>N/A</t>
        </is>
      </c>
      <c r="H120" s="15" t="inlineStr">
        <is>
          <t>No</t>
        </is>
      </c>
      <c r="I120" s="15" t="inlineStr"/>
      <c r="J120" s="15" t="inlineStr"/>
      <c r="K120" s="15" t="inlineStr"/>
      <c r="L120" s="15" t="inlineStr">
        <is>
          <t>None</t>
        </is>
      </c>
      <c r="M120" s="15" t="inlineStr">
        <is>
          <t>Reporting normally on all platforms</t>
        </is>
      </c>
      <c r="N120" s="15" t="inlineStr">
        <is>
          <t>MALABA, UgandaJ7R6+G4Q, Tororo, Uganda</t>
        </is>
      </c>
    </row>
    <row r="121">
      <c r="A121" s="15" t="inlineStr">
        <is>
          <t>UA226AX</t>
        </is>
      </c>
      <c r="B121" s="21" t="inlineStr">
        <is>
          <t>Online</t>
        </is>
      </c>
      <c r="C121" s="15" t="inlineStr">
        <is>
          <t>-</t>
        </is>
      </c>
      <c r="D121" s="15" t="n">
        <v>0</v>
      </c>
      <c r="E121" s="15" t="inlineStr">
        <is>
          <t>N/A</t>
        </is>
      </c>
      <c r="F121" s="15" t="inlineStr">
        <is>
          <t>Online</t>
        </is>
      </c>
      <c r="G121" s="15" t="inlineStr">
        <is>
          <t>N/A</t>
        </is>
      </c>
      <c r="H121" s="15" t="inlineStr">
        <is>
          <t>No</t>
        </is>
      </c>
      <c r="I121" s="15" t="inlineStr"/>
      <c r="J121" s="15" t="inlineStr"/>
      <c r="K121" s="15" t="inlineStr"/>
      <c r="L121" s="15" t="inlineStr">
        <is>
          <t>None</t>
        </is>
      </c>
      <c r="M121" s="15" t="inlineStr">
        <is>
          <t>Reporting normally on all platforms</t>
        </is>
      </c>
      <c r="N121" s="15" t="inlineStr">
        <is>
          <t>Naivasha, KenyaNairobi - Nakuru Hwy, Kenya</t>
        </is>
      </c>
    </row>
    <row r="122">
      <c r="A122" s="15" t="inlineStr">
        <is>
          <t>UA458AX</t>
        </is>
      </c>
      <c r="B122" s="21" t="inlineStr">
        <is>
          <t>Online</t>
        </is>
      </c>
      <c r="C122" s="15" t="inlineStr">
        <is>
          <t>-</t>
        </is>
      </c>
      <c r="D122" s="15" t="n">
        <v>0</v>
      </c>
      <c r="E122" s="15" t="inlineStr">
        <is>
          <t>N/A</t>
        </is>
      </c>
      <c r="F122" s="15" t="inlineStr">
        <is>
          <t>Online</t>
        </is>
      </c>
      <c r="G122" s="15" t="inlineStr">
        <is>
          <t>N/A</t>
        </is>
      </c>
      <c r="H122" s="15" t="inlineStr">
        <is>
          <t>No</t>
        </is>
      </c>
      <c r="I122" s="15" t="inlineStr"/>
      <c r="J122" s="15" t="inlineStr"/>
      <c r="K122" s="15" t="inlineStr"/>
      <c r="L122" s="15" t="inlineStr">
        <is>
          <t>None</t>
        </is>
      </c>
      <c r="M122" s="15" t="inlineStr">
        <is>
          <t>Reporting normally on all platforms</t>
        </is>
      </c>
      <c r="N122" s="15" t="inlineStr">
        <is>
          <t>MALABA, UgandaJ7Q9+2M5, A104, Malaba, Kenya</t>
        </is>
      </c>
    </row>
    <row r="123">
      <c r="A123" s="15" t="inlineStr">
        <is>
          <t>UBN090J</t>
        </is>
      </c>
      <c r="B123" s="21" t="inlineStr">
        <is>
          <t>Online</t>
        </is>
      </c>
      <c r="C123" s="15" t="inlineStr">
        <is>
          <t>-</t>
        </is>
      </c>
      <c r="D123" s="15" t="n">
        <v>0</v>
      </c>
      <c r="E123" s="15" t="inlineStr">
        <is>
          <t>N/A</t>
        </is>
      </c>
      <c r="F123" s="15" t="inlineStr">
        <is>
          <t>Online</t>
        </is>
      </c>
      <c r="G123" s="15" t="inlineStr">
        <is>
          <t>N/A</t>
        </is>
      </c>
      <c r="H123" s="15" t="inlineStr">
        <is>
          <t>No</t>
        </is>
      </c>
      <c r="I123" s="15" t="inlineStr"/>
      <c r="J123" s="15" t="inlineStr"/>
      <c r="K123" s="15" t="inlineStr"/>
      <c r="L123" s="15" t="inlineStr">
        <is>
          <t>None</t>
        </is>
      </c>
      <c r="M123" s="15" t="inlineStr">
        <is>
          <t>Reporting normally on all platforms</t>
        </is>
      </c>
      <c r="N123" s="15" t="inlineStr">
        <is>
          <t>Tilenga, BuliisaUnnamed Road, Kimoli, Uganda</t>
        </is>
      </c>
    </row>
    <row r="124">
      <c r="A124" s="15" t="inlineStr">
        <is>
          <t>UBN545H</t>
        </is>
      </c>
      <c r="B124" s="21" t="inlineStr">
        <is>
          <t>Online</t>
        </is>
      </c>
      <c r="C124" s="15" t="inlineStr">
        <is>
          <t>-</t>
        </is>
      </c>
      <c r="D124" s="15" t="n">
        <v>0</v>
      </c>
      <c r="E124" s="15" t="inlineStr">
        <is>
          <t>N/A</t>
        </is>
      </c>
      <c r="F124" s="15" t="inlineStr">
        <is>
          <t>Online</t>
        </is>
      </c>
      <c r="G124" s="15" t="inlineStr">
        <is>
          <t>N/A</t>
        </is>
      </c>
      <c r="H124" s="15" t="inlineStr">
        <is>
          <t>No</t>
        </is>
      </c>
      <c r="I124" s="15" t="inlineStr"/>
      <c r="J124" s="15" t="inlineStr"/>
      <c r="K124" s="15" t="inlineStr"/>
      <c r="L124" s="15" t="inlineStr">
        <is>
          <t>None</t>
        </is>
      </c>
      <c r="M124" s="15" t="inlineStr">
        <is>
          <t>Reporting normally on all platforms</t>
        </is>
      </c>
      <c r="N124" s="15" t="inlineStr">
        <is>
          <t>Tilenga, BuliisaUnnamed Road, Uganda</t>
        </is>
      </c>
    </row>
    <row r="125">
      <c r="A125" s="15" t="inlineStr">
        <is>
          <t>UBB242D</t>
        </is>
      </c>
      <c r="B125" s="21" t="inlineStr">
        <is>
          <t>Online</t>
        </is>
      </c>
      <c r="C125" s="15" t="inlineStr">
        <is>
          <t>-</t>
        </is>
      </c>
      <c r="D125" s="15" t="n">
        <v>0</v>
      </c>
      <c r="E125" s="15" t="inlineStr">
        <is>
          <t>N/A</t>
        </is>
      </c>
      <c r="F125" s="15" t="inlineStr">
        <is>
          <t>Online</t>
        </is>
      </c>
      <c r="G125" s="15" t="inlineStr">
        <is>
          <t>N/A</t>
        </is>
      </c>
      <c r="H125" s="15" t="inlineStr">
        <is>
          <t>No</t>
        </is>
      </c>
      <c r="I125" s="15" t="inlineStr"/>
      <c r="J125" s="15" t="inlineStr"/>
      <c r="K125" s="15" t="inlineStr"/>
      <c r="L125" s="15" t="inlineStr">
        <is>
          <t>None</t>
        </is>
      </c>
      <c r="M125" s="15" t="inlineStr">
        <is>
          <t>Reporting normally on all platforms</t>
        </is>
      </c>
      <c r="N125" s="15" t="inlineStr">
        <is>
          <t>GTL Butto YardAchon Cl, Uganda</t>
        </is>
      </c>
    </row>
    <row r="126">
      <c r="A126" s="15" t="inlineStr">
        <is>
          <t>UAT110B</t>
        </is>
      </c>
      <c r="B126" s="21" t="inlineStr">
        <is>
          <t>Online</t>
        </is>
      </c>
      <c r="C126" s="15" t="inlineStr">
        <is>
          <t>-</t>
        </is>
      </c>
      <c r="D126" s="15" t="n">
        <v>0</v>
      </c>
      <c r="E126" s="15" t="inlineStr">
        <is>
          <t>N/A</t>
        </is>
      </c>
      <c r="F126" s="15" t="inlineStr">
        <is>
          <t>Online</t>
        </is>
      </c>
      <c r="G126" s="15" t="inlineStr">
        <is>
          <t>N/A</t>
        </is>
      </c>
      <c r="H126" s="15" t="inlineStr">
        <is>
          <t>No</t>
        </is>
      </c>
      <c r="I126" s="15" t="inlineStr"/>
      <c r="J126" s="15" t="inlineStr"/>
      <c r="K126" s="15" t="inlineStr"/>
      <c r="L126" s="15" t="inlineStr">
        <is>
          <t>None</t>
        </is>
      </c>
      <c r="M126" s="15" t="inlineStr">
        <is>
          <t>Reporting normally on all platforms</t>
        </is>
      </c>
      <c r="N126" s="15" t="inlineStr">
        <is>
          <t>8a Lukonge Cl, Kampala, Uganda</t>
        </is>
      </c>
    </row>
    <row r="127">
      <c r="A127" s="15" t="inlineStr">
        <is>
          <t>UA807CP</t>
        </is>
      </c>
      <c r="B127" s="21" t="inlineStr">
        <is>
          <t>Online</t>
        </is>
      </c>
      <c r="C127" s="15" t="inlineStr">
        <is>
          <t>-</t>
        </is>
      </c>
      <c r="D127" s="15" t="n">
        <v>0</v>
      </c>
      <c r="E127" s="15" t="inlineStr">
        <is>
          <t>N/A</t>
        </is>
      </c>
      <c r="F127" s="15" t="inlineStr">
        <is>
          <t>Online</t>
        </is>
      </c>
      <c r="G127" s="15" t="inlineStr">
        <is>
          <t>N/A</t>
        </is>
      </c>
      <c r="H127" s="15" t="inlineStr">
        <is>
          <t>No</t>
        </is>
      </c>
      <c r="I127" s="15" t="inlineStr"/>
      <c r="J127" s="15" t="inlineStr"/>
      <c r="K127" s="15" t="inlineStr"/>
      <c r="L127" s="15" t="inlineStr">
        <is>
          <t>None</t>
        </is>
      </c>
      <c r="M127" s="15" t="inlineStr">
        <is>
          <t>Reporting normally on all platforms</t>
        </is>
      </c>
      <c r="N127" s="15" t="inlineStr">
        <is>
          <t>Tilenga, BuliisaUnnamed Road, Kimoli, Uganda</t>
        </is>
      </c>
    </row>
    <row r="128">
      <c r="A128" s="15" t="inlineStr">
        <is>
          <t>UBL980X</t>
        </is>
      </c>
      <c r="B128" s="21" t="inlineStr">
        <is>
          <t>Online</t>
        </is>
      </c>
      <c r="C128" s="15" t="inlineStr">
        <is>
          <t>-</t>
        </is>
      </c>
      <c r="D128" s="15" t="n">
        <v>0</v>
      </c>
      <c r="E128" s="15" t="inlineStr">
        <is>
          <t>N/A</t>
        </is>
      </c>
      <c r="F128" s="15" t="inlineStr">
        <is>
          <t>Online</t>
        </is>
      </c>
      <c r="G128" s="15" t="inlineStr">
        <is>
          <t>N/A</t>
        </is>
      </c>
      <c r="H128" s="15" t="inlineStr">
        <is>
          <t>No</t>
        </is>
      </c>
      <c r="I128" s="15" t="inlineStr"/>
      <c r="J128" s="15" t="inlineStr"/>
      <c r="K128" s="15" t="inlineStr"/>
      <c r="L128" s="15" t="inlineStr">
        <is>
          <t>None</t>
        </is>
      </c>
      <c r="M128" s="15" t="inlineStr">
        <is>
          <t>Reporting normally on all platforms</t>
        </is>
      </c>
      <c r="N128" s="15" t="inlineStr">
        <is>
          <t>GTL Butto YardAchon Cl, Uganda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24" customWidth="1" min="3" max="3"/>
    <col width="24" customWidth="1" min="4" max="4"/>
    <col width="12" customWidth="1" min="5" max="5"/>
    <col width="12" customWidth="1" min="6" max="6"/>
    <col width="12" customWidth="1" min="7" max="7"/>
    <col width="14" customWidth="1" min="8" max="8"/>
    <col width="12" customWidth="1" min="9" max="9"/>
    <col width="20" customWidth="1" min="10" max="10"/>
    <col width="12" customWidth="1" min="11" max="11"/>
    <col width="34" customWidth="1" min="12" max="12"/>
    <col width="32" customWidth="1" min="13" max="13"/>
    <col width="46" customWidth="1" min="14" max="14"/>
    <col width="36" customWidth="1" min="15" max="15"/>
  </cols>
  <sheetData>
    <row r="1">
      <c r="A1" s="22" t="inlineStr">
        <is>
          <t>Rank</t>
        </is>
      </c>
      <c r="B1" s="22" t="inlineStr">
        <is>
          <t>Asset Plate</t>
        </is>
      </c>
      <c r="C1" s="22" t="inlineStr">
        <is>
          <t>Status</t>
        </is>
      </c>
      <c r="D1" s="22" t="inlineStr">
        <is>
          <t>Severity</t>
        </is>
      </c>
      <c r="E1" s="22" t="inlineStr">
        <is>
          <t>Days Offline</t>
        </is>
      </c>
      <c r="F1" s="22" t="inlineStr">
        <is>
          <t>Teletrac</t>
        </is>
      </c>
      <c r="G1" s="22" t="inlineStr">
        <is>
          <t>MiX Unity</t>
        </is>
      </c>
      <c r="H1" s="22" t="inlineStr">
        <is>
          <t>FT Cloud Camera</t>
        </is>
      </c>
      <c r="I1" s="22" t="inlineStr">
        <is>
          <t>Border Risk</t>
        </is>
      </c>
      <c r="J1" s="22" t="inlineStr">
        <is>
          <t>Nearest Border</t>
        </is>
      </c>
      <c r="K1" s="22" t="inlineStr">
        <is>
          <t>Distance (km)</t>
        </is>
      </c>
      <c r="L1" s="22" t="inlineStr">
        <is>
          <t>Customer Feedback</t>
        </is>
      </c>
      <c r="M1" s="22" t="inlineStr">
        <is>
          <t>Recommended Action</t>
        </is>
      </c>
      <c r="N1" s="22" t="inlineStr">
        <is>
          <t>Investigation Reasons</t>
        </is>
      </c>
      <c r="O1" s="22" t="inlineStr">
        <is>
          <t>Last Known Location</t>
        </is>
      </c>
    </row>
    <row r="2">
      <c r="A2" s="23" t="n">
        <v>1</v>
      </c>
      <c r="B2" s="23" t="inlineStr">
        <is>
          <t>KDJ251Z</t>
        </is>
      </c>
      <c r="C2" s="24" t="inlineStr">
        <is>
          <t>Technical Escalation</t>
        </is>
      </c>
      <c r="D2" s="23" t="inlineStr">
        <is>
          <t>Critical - Long-term Fault</t>
        </is>
      </c>
      <c r="E2" s="23" t="n">
        <v>635.3</v>
      </c>
      <c r="F2" s="23" t="inlineStr">
        <is>
          <t>N/A</t>
        </is>
      </c>
      <c r="G2" s="23" t="inlineStr">
        <is>
          <t>Offline</t>
        </is>
      </c>
      <c r="H2" s="23" t="inlineStr">
        <is>
          <t>N/A</t>
        </is>
      </c>
      <c r="I2" s="23" t="inlineStr">
        <is>
          <t>No</t>
        </is>
      </c>
      <c r="J2" s="23" t="inlineStr"/>
      <c r="K2" s="23" t="inlineStr"/>
      <c r="L2" s="23" t="inlineStr"/>
      <c r="M2" s="23" t="inlineStr">
        <is>
          <t>Recover device - long-term fault, schedule field recovery</t>
        </is>
      </c>
      <c r="N2" s="23" t="inlineStr">
        <is>
          <t>Offline 635.3 day(s); No customer feedback on file</t>
        </is>
      </c>
      <c r="O2" s="23" t="inlineStr">
        <is>
          <t>Unnamed Road, Uganda</t>
        </is>
      </c>
    </row>
    <row r="3">
      <c r="A3" s="23" t="n">
        <v>2</v>
      </c>
      <c r="B3" s="23" t="inlineStr">
        <is>
          <t>UA899CE</t>
        </is>
      </c>
      <c r="C3" s="24" t="inlineStr">
        <is>
          <t>Technical Escalation</t>
        </is>
      </c>
      <c r="D3" s="23" t="inlineStr">
        <is>
          <t>Critical - Long-term Fault</t>
        </is>
      </c>
      <c r="E3" s="23" t="n">
        <v>99.8</v>
      </c>
      <c r="F3" s="23" t="inlineStr">
        <is>
          <t>N/A</t>
        </is>
      </c>
      <c r="G3" s="23" t="inlineStr">
        <is>
          <t>Offline</t>
        </is>
      </c>
      <c r="H3" s="23" t="inlineStr">
        <is>
          <t>N/A</t>
        </is>
      </c>
      <c r="I3" s="23" t="inlineStr">
        <is>
          <t>No</t>
        </is>
      </c>
      <c r="J3" s="23" t="inlineStr"/>
      <c r="K3" s="23" t="inlineStr"/>
      <c r="L3" s="23" t="inlineStr"/>
      <c r="M3" s="23" t="inlineStr">
        <is>
          <t>Recover device - long-term fault, schedule field recovery</t>
        </is>
      </c>
      <c r="N3" s="23" t="inlineStr">
        <is>
          <t>Offline 99.8 day(s); No customer feedback on file</t>
        </is>
      </c>
      <c r="O3" s="23" t="inlineStr">
        <is>
          <t>SALGAA, Nakuru road KenyaQVR5+35V, Nakuru, Kenya</t>
        </is>
      </c>
    </row>
    <row r="4">
      <c r="A4" s="23" t="n">
        <v>3</v>
      </c>
      <c r="B4" s="23" t="inlineStr">
        <is>
          <t>KDK280N</t>
        </is>
      </c>
      <c r="C4" s="24" t="inlineStr">
        <is>
          <t>Technical Escalation</t>
        </is>
      </c>
      <c r="D4" s="23" t="inlineStr">
        <is>
          <t>Critical - Long-term Fault</t>
        </is>
      </c>
      <c r="E4" s="23" t="n">
        <v>90.3</v>
      </c>
      <c r="F4" s="23" t="inlineStr">
        <is>
          <t>N/A</t>
        </is>
      </c>
      <c r="G4" s="23" t="inlineStr">
        <is>
          <t>Offline</t>
        </is>
      </c>
      <c r="H4" s="23" t="inlineStr">
        <is>
          <t>N/A</t>
        </is>
      </c>
      <c r="I4" s="23" t="inlineStr">
        <is>
          <t>No</t>
        </is>
      </c>
      <c r="J4" s="23" t="inlineStr"/>
      <c r="K4" s="23" t="inlineStr"/>
      <c r="L4" s="23" t="inlineStr"/>
      <c r="M4" s="23" t="inlineStr">
        <is>
          <t>Recover device - long-term fault, schedule field recovery</t>
        </is>
      </c>
      <c r="N4" s="23" t="inlineStr">
        <is>
          <t>Offline 90.3 day(s); No customer feedback on file</t>
        </is>
      </c>
      <c r="O4" s="23" t="inlineStr">
        <is>
          <t>Mazeras, Kenya2GMX+6Q2, Mazeras, Kenya</t>
        </is>
      </c>
    </row>
    <row r="5">
      <c r="A5" s="23" t="n">
        <v>4</v>
      </c>
      <c r="B5" s="23" t="inlineStr">
        <is>
          <t>KDN892T</t>
        </is>
      </c>
      <c r="C5" s="24" t="inlineStr">
        <is>
          <t>Technical Escalation</t>
        </is>
      </c>
      <c r="D5" s="23" t="inlineStr">
        <is>
          <t>Critical - Long-term Fault</t>
        </is>
      </c>
      <c r="E5" s="23" t="n">
        <v>88.3</v>
      </c>
      <c r="F5" s="23" t="inlineStr">
        <is>
          <t>N/A</t>
        </is>
      </c>
      <c r="G5" s="23" t="inlineStr">
        <is>
          <t>Offline</t>
        </is>
      </c>
      <c r="H5" s="23" t="inlineStr">
        <is>
          <t>N/A</t>
        </is>
      </c>
      <c r="I5" s="23" t="inlineStr">
        <is>
          <t>No</t>
        </is>
      </c>
      <c r="J5" s="23" t="inlineStr"/>
      <c r="K5" s="23" t="inlineStr"/>
      <c r="L5" s="23" t="inlineStr"/>
      <c r="M5" s="23" t="inlineStr">
        <is>
          <t>Recover device - long-term fault, schedule field recovery</t>
        </is>
      </c>
      <c r="N5" s="23" t="inlineStr">
        <is>
          <t>Offline 88.3 day(s); No customer feedback on file</t>
        </is>
      </c>
      <c r="O5" s="23" t="inlineStr">
        <is>
          <t>Mombasa, KenyaMombasa Road, Mombasa, Kenya</t>
        </is>
      </c>
    </row>
    <row r="6">
      <c r="A6" s="23" t="n">
        <v>5</v>
      </c>
      <c r="B6" s="23" t="inlineStr">
        <is>
          <t>KDN480R</t>
        </is>
      </c>
      <c r="C6" s="24" t="inlineStr">
        <is>
          <t>Technical Escalation</t>
        </is>
      </c>
      <c r="D6" s="23" t="inlineStr">
        <is>
          <t>Critical - Long-term Fault</t>
        </is>
      </c>
      <c r="E6" s="23" t="n">
        <v>88.2</v>
      </c>
      <c r="F6" s="23" t="inlineStr">
        <is>
          <t>N/A</t>
        </is>
      </c>
      <c r="G6" s="23" t="inlineStr">
        <is>
          <t>Offline</t>
        </is>
      </c>
      <c r="H6" s="23" t="inlineStr">
        <is>
          <t>N/A</t>
        </is>
      </c>
      <c r="I6" s="23" t="inlineStr">
        <is>
          <t>No</t>
        </is>
      </c>
      <c r="J6" s="23" t="inlineStr"/>
      <c r="K6" s="23" t="inlineStr"/>
      <c r="L6" s="23" t="inlineStr"/>
      <c r="M6" s="23" t="inlineStr">
        <is>
          <t>Recover device - long-term fault, schedule field recovery</t>
        </is>
      </c>
      <c r="N6" s="23" t="inlineStr">
        <is>
          <t>Offline 88.2 day(s); No customer feedback on file</t>
        </is>
      </c>
      <c r="O6" s="23" t="inlineStr">
        <is>
          <t>Miritini2H57+622, Chigato Village, Kenya</t>
        </is>
      </c>
    </row>
    <row r="7">
      <c r="A7" s="23" t="n">
        <v>6</v>
      </c>
      <c r="B7" s="23" t="inlineStr">
        <is>
          <t>KDJ246Z</t>
        </is>
      </c>
      <c r="C7" s="24" t="inlineStr">
        <is>
          <t>Technical Escalation</t>
        </is>
      </c>
      <c r="D7" s="23" t="inlineStr">
        <is>
          <t>Critical - Long-term Fault</t>
        </is>
      </c>
      <c r="E7" s="23" t="n">
        <v>88.2</v>
      </c>
      <c r="F7" s="23" t="inlineStr">
        <is>
          <t>N/A</t>
        </is>
      </c>
      <c r="G7" s="23" t="inlineStr">
        <is>
          <t>Offline</t>
        </is>
      </c>
      <c r="H7" s="23" t="inlineStr">
        <is>
          <t>N/A</t>
        </is>
      </c>
      <c r="I7" s="23" t="inlineStr">
        <is>
          <t>No</t>
        </is>
      </c>
      <c r="J7" s="23" t="inlineStr"/>
      <c r="K7" s="23" t="inlineStr"/>
      <c r="L7" s="23" t="inlineStr"/>
      <c r="M7" s="23" t="inlineStr">
        <is>
          <t>Recover device - long-term fault, schedule field recovery</t>
        </is>
      </c>
      <c r="N7" s="23" t="inlineStr">
        <is>
          <t>Offline 88.2 day(s); No customer feedback on file</t>
        </is>
      </c>
      <c r="O7" s="23" t="inlineStr">
        <is>
          <t>MALABA, KenyaJ7MG+XJ8, A104, Malaba, Kenya</t>
        </is>
      </c>
    </row>
    <row r="8">
      <c r="A8" s="23" t="n">
        <v>7</v>
      </c>
      <c r="B8" s="23" t="inlineStr">
        <is>
          <t>UBG875M</t>
        </is>
      </c>
      <c r="C8" s="24" t="inlineStr">
        <is>
          <t>Technical Escalation</t>
        </is>
      </c>
      <c r="D8" s="23" t="inlineStr">
        <is>
          <t>Critical - Long-term Fault</t>
        </is>
      </c>
      <c r="E8" s="23" t="n">
        <v>73</v>
      </c>
      <c r="F8" s="23" t="inlineStr">
        <is>
          <t>N/A</t>
        </is>
      </c>
      <c r="G8" s="23" t="inlineStr">
        <is>
          <t>Offline</t>
        </is>
      </c>
      <c r="H8" s="23" t="inlineStr">
        <is>
          <t>N/A</t>
        </is>
      </c>
      <c r="I8" s="23" t="inlineStr">
        <is>
          <t>No</t>
        </is>
      </c>
      <c r="J8" s="23" t="inlineStr"/>
      <c r="K8" s="23" t="inlineStr"/>
      <c r="L8" s="23" t="inlineStr"/>
      <c r="M8" s="23" t="inlineStr">
        <is>
          <t>Recover device - long-term fault, schedule field recovery</t>
        </is>
      </c>
      <c r="N8" s="23" t="inlineStr">
        <is>
          <t>Offline 73.0 day(s); No customer feedback on file</t>
        </is>
      </c>
      <c r="O8" s="23" t="inlineStr">
        <is>
          <t>GTL Butto YardAchon Cl, Uganda</t>
        </is>
      </c>
    </row>
    <row r="9">
      <c r="A9" s="23" t="n">
        <v>8</v>
      </c>
      <c r="B9" s="23" t="inlineStr">
        <is>
          <t>UA382CH</t>
        </is>
      </c>
      <c r="C9" s="24" t="inlineStr">
        <is>
          <t>Technical Escalation</t>
        </is>
      </c>
      <c r="D9" s="23" t="inlineStr">
        <is>
          <t>Critical - Long-term Fault</t>
        </is>
      </c>
      <c r="E9" s="23" t="n">
        <v>44.1</v>
      </c>
      <c r="F9" s="23" t="inlineStr">
        <is>
          <t>N/A</t>
        </is>
      </c>
      <c r="G9" s="23" t="inlineStr">
        <is>
          <t>Offline</t>
        </is>
      </c>
      <c r="H9" s="23" t="inlineStr">
        <is>
          <t>N/A</t>
        </is>
      </c>
      <c r="I9" s="23" t="inlineStr">
        <is>
          <t>No</t>
        </is>
      </c>
      <c r="J9" s="23" t="inlineStr"/>
      <c r="K9" s="23" t="inlineStr"/>
      <c r="L9" s="23" t="inlineStr"/>
      <c r="M9" s="23" t="inlineStr">
        <is>
          <t>Recover device - long-term fault, schedule field recovery</t>
        </is>
      </c>
      <c r="N9" s="23" t="inlineStr">
        <is>
          <t>Offline 44.1 day(s); No customer feedback on file</t>
        </is>
      </c>
      <c r="O9" s="23" t="inlineStr">
        <is>
          <t>3b Nkrumah Rd, Kampala, Uganda</t>
        </is>
      </c>
    </row>
    <row r="10">
      <c r="A10" s="23" t="n">
        <v>9</v>
      </c>
      <c r="B10" s="23" t="inlineStr">
        <is>
          <t>UA160AZ</t>
        </is>
      </c>
      <c r="C10" s="24" t="inlineStr">
        <is>
          <t>Technical Escalation</t>
        </is>
      </c>
      <c r="D10" s="23" t="inlineStr">
        <is>
          <t>Critical - Long-term Fault</t>
        </is>
      </c>
      <c r="E10" s="23" t="n">
        <v>36</v>
      </c>
      <c r="F10" s="23" t="inlineStr">
        <is>
          <t>N/A</t>
        </is>
      </c>
      <c r="G10" s="23" t="inlineStr">
        <is>
          <t>Offline</t>
        </is>
      </c>
      <c r="H10" s="23" t="inlineStr">
        <is>
          <t>N/A</t>
        </is>
      </c>
      <c r="I10" s="23" t="inlineStr">
        <is>
          <t>No</t>
        </is>
      </c>
      <c r="J10" s="23" t="inlineStr"/>
      <c r="K10" s="23" t="inlineStr"/>
      <c r="L10" s="23" t="inlineStr"/>
      <c r="M10" s="23" t="inlineStr">
        <is>
          <t>Recover device - long-term fault, schedule field recovery</t>
        </is>
      </c>
      <c r="N10" s="23" t="inlineStr">
        <is>
          <t>Offline 36.0 day(s); No customer feedback on file</t>
        </is>
      </c>
      <c r="O10" s="23" t="inlineStr">
        <is>
          <t>Emali, KenyaWF9H+93V, Emali, Kenya</t>
        </is>
      </c>
    </row>
    <row r="11">
      <c r="A11" s="23" t="n">
        <v>10</v>
      </c>
      <c r="B11" s="23" t="inlineStr">
        <is>
          <t>UBF663U</t>
        </is>
      </c>
      <c r="C11" s="25" t="inlineStr">
        <is>
          <t>Technical Escalation</t>
        </is>
      </c>
      <c r="D11" s="23" t="inlineStr">
        <is>
          <t>High - Escalate This Week</t>
        </is>
      </c>
      <c r="E11" s="23" t="n">
        <v>21.4</v>
      </c>
      <c r="F11" s="23" t="inlineStr">
        <is>
          <t>Offline</t>
        </is>
      </c>
      <c r="G11" s="23" t="inlineStr">
        <is>
          <t>Offline</t>
        </is>
      </c>
      <c r="H11" s="23" t="inlineStr">
        <is>
          <t>N/A</t>
        </is>
      </c>
      <c r="I11" s="23" t="inlineStr">
        <is>
          <t>No</t>
        </is>
      </c>
      <c r="J11" s="23" t="inlineStr"/>
      <c r="K11" s="23" t="inlineStr"/>
      <c r="L11" s="23" t="inlineStr"/>
      <c r="M11" s="23" t="inlineStr">
        <is>
          <t>Schedule physical inspection this week</t>
        </is>
      </c>
      <c r="N11" s="23" t="inlineStr">
        <is>
          <t>Offline 21.4 day(s); Offline on 2 independent platforms; No customer feedback on file</t>
        </is>
      </c>
      <c r="O11" s="23" t="inlineStr">
        <is>
          <t>Jinja - Kampala Road, Lugazi, Mukono, Central Region, Uganda</t>
        </is>
      </c>
    </row>
    <row r="12">
      <c r="A12" s="23" t="n">
        <v>11</v>
      </c>
      <c r="B12" s="23" t="inlineStr">
        <is>
          <t>UBF424U</t>
        </is>
      </c>
      <c r="C12" s="25" t="inlineStr">
        <is>
          <t>Technical Escalation</t>
        </is>
      </c>
      <c r="D12" s="23" t="inlineStr">
        <is>
          <t>High - Escalate This Week</t>
        </is>
      </c>
      <c r="E12" s="23" t="n">
        <v>8</v>
      </c>
      <c r="F12" s="23" t="inlineStr">
        <is>
          <t>Offline</t>
        </is>
      </c>
      <c r="G12" s="23" t="inlineStr">
        <is>
          <t>Offline</t>
        </is>
      </c>
      <c r="H12" s="23" t="inlineStr">
        <is>
          <t>N/A</t>
        </is>
      </c>
      <c r="I12" s="23" t="inlineStr">
        <is>
          <t>No</t>
        </is>
      </c>
      <c r="J12" s="23" t="inlineStr"/>
      <c r="K12" s="23" t="inlineStr"/>
      <c r="L12" s="23" t="inlineStr"/>
      <c r="M12" s="23" t="inlineStr">
        <is>
          <t>Schedule physical inspection this week</t>
        </is>
      </c>
      <c r="N12" s="23" t="inlineStr">
        <is>
          <t>Offline 8.0 day(s); Offline on 2 independent platforms; No customer feedback on file</t>
        </is>
      </c>
      <c r="O12" s="23" t="inlineStr">
        <is>
          <t>Butto, Wakiso, Central Region, Uganda</t>
        </is>
      </c>
    </row>
    <row r="13">
      <c r="A13" s="23" t="n">
        <v>12</v>
      </c>
      <c r="B13" s="23" t="inlineStr">
        <is>
          <t>KCU042Y</t>
        </is>
      </c>
      <c r="C13" s="26" t="inlineStr">
        <is>
          <t>Technical Escalation</t>
        </is>
      </c>
      <c r="D13" s="23" t="inlineStr">
        <is>
          <t>Elevated - Monitor</t>
        </is>
      </c>
      <c r="E13" s="23" t="n">
        <v>3</v>
      </c>
      <c r="F13" s="23" t="inlineStr">
        <is>
          <t>N/A</t>
        </is>
      </c>
      <c r="G13" s="23" t="inlineStr">
        <is>
          <t>Offline</t>
        </is>
      </c>
      <c r="H13" s="23" t="inlineStr">
        <is>
          <t>N/A</t>
        </is>
      </c>
      <c r="I13" s="23" t="inlineStr">
        <is>
          <t>No</t>
        </is>
      </c>
      <c r="J13" s="23" t="inlineStr"/>
      <c r="K13" s="23" t="inlineStr"/>
      <c r="L13" s="23" t="inlineStr"/>
      <c r="M13" s="23" t="inlineStr">
        <is>
          <t>Contact customer for status confirmation</t>
        </is>
      </c>
      <c r="N13" s="23" t="inlineStr">
        <is>
          <t>Offline 3.0 day(s); No customer feedback on file</t>
        </is>
      </c>
      <c r="O13" s="23" t="inlineStr">
        <is>
          <t>Mombasa, KenyaXJ68+7VR, Mombasa, Kenya</t>
        </is>
      </c>
    </row>
    <row r="14">
      <c r="A14" s="23" t="n">
        <v>13</v>
      </c>
      <c r="B14" s="23" t="inlineStr">
        <is>
          <t>UBN593C</t>
        </is>
      </c>
      <c r="C14" s="26" t="inlineStr">
        <is>
          <t>Technical Escalation</t>
        </is>
      </c>
      <c r="D14" s="23" t="inlineStr">
        <is>
          <t>Elevated - Monitor</t>
        </is>
      </c>
      <c r="E14" s="23" t="n">
        <v>2.2</v>
      </c>
      <c r="F14" s="23" t="inlineStr">
        <is>
          <t>Offline</t>
        </is>
      </c>
      <c r="G14" s="23" t="inlineStr">
        <is>
          <t>Offline</t>
        </is>
      </c>
      <c r="H14" s="23" t="inlineStr">
        <is>
          <t>N/A</t>
        </is>
      </c>
      <c r="I14" s="23" t="inlineStr">
        <is>
          <t>Yes</t>
        </is>
      </c>
      <c r="J14" s="23" t="inlineStr">
        <is>
          <t>Malaba (Kenya/Uganda)</t>
        </is>
      </c>
      <c r="K14" s="23" t="n">
        <v>0.8</v>
      </c>
      <c r="L14" s="23" t="inlineStr"/>
      <c r="M14" s="23" t="inlineStr">
        <is>
          <t>Immediate escalation - possible cross-border loss</t>
        </is>
      </c>
      <c r="N14" s="23" t="inlineStr">
        <is>
          <t>Offline 2.2 day(s); Offline on 2 independent platforms; Last known position near a high-incident border crossing; No customer feedback on file</t>
        </is>
      </c>
      <c r="O14" s="23" t="inlineStr">
        <is>
          <t>Kenya Road, Malaba 'a' South, Tororo, Eastern Region, Uganda</t>
        </is>
      </c>
    </row>
    <row r="15">
      <c r="A15" s="23" t="n">
        <v>14</v>
      </c>
      <c r="B15" s="23" t="inlineStr">
        <is>
          <t>UBN601C</t>
        </is>
      </c>
      <c r="C15" s="26" t="inlineStr">
        <is>
          <t>Technical Escalation</t>
        </is>
      </c>
      <c r="D15" s="23" t="inlineStr">
        <is>
          <t>Elevated - Monitor</t>
        </is>
      </c>
      <c r="E15" s="23" t="n">
        <v>2.1</v>
      </c>
      <c r="F15" s="23" t="inlineStr">
        <is>
          <t>Offline</t>
        </is>
      </c>
      <c r="G15" s="23" t="inlineStr">
        <is>
          <t>Offline</t>
        </is>
      </c>
      <c r="H15" s="23" t="inlineStr">
        <is>
          <t>N/A</t>
        </is>
      </c>
      <c r="I15" s="23" t="inlineStr">
        <is>
          <t>No</t>
        </is>
      </c>
      <c r="J15" s="23" t="inlineStr"/>
      <c r="K15" s="23" t="inlineStr"/>
      <c r="L15" s="23" t="inlineStr"/>
      <c r="M15" s="23" t="inlineStr">
        <is>
          <t>Contact customer for status confirmation</t>
        </is>
      </c>
      <c r="N15" s="23" t="inlineStr">
        <is>
          <t>Offline 2.1 day(s); Offline on 2 independent platforms; No customer feedback on file</t>
        </is>
      </c>
      <c r="O15" s="23" t="inlineStr">
        <is>
          <t>Mikanjuni, Jomvu, Jomvu Kuu, Mombasa</t>
        </is>
      </c>
    </row>
    <row r="16">
      <c r="A16" s="23" t="n">
        <v>15</v>
      </c>
      <c r="B16" s="23" t="inlineStr">
        <is>
          <t>UBE421W</t>
        </is>
      </c>
      <c r="C16" s="26" t="inlineStr">
        <is>
          <t>Technical Escalation</t>
        </is>
      </c>
      <c r="D16" s="23" t="inlineStr">
        <is>
          <t>Elevated - Monitor</t>
        </is>
      </c>
      <c r="E16" s="23" t="n">
        <v>2.1</v>
      </c>
      <c r="F16" s="23" t="inlineStr">
        <is>
          <t>N/A</t>
        </is>
      </c>
      <c r="G16" s="23" t="inlineStr">
        <is>
          <t>Offline</t>
        </is>
      </c>
      <c r="H16" s="23" t="inlineStr">
        <is>
          <t>N/A</t>
        </is>
      </c>
      <c r="I16" s="23" t="inlineStr">
        <is>
          <t>No</t>
        </is>
      </c>
      <c r="J16" s="23" t="inlineStr"/>
      <c r="K16" s="23" t="inlineStr"/>
      <c r="L16" s="23" t="inlineStr"/>
      <c r="M16" s="23" t="inlineStr">
        <is>
          <t>Contact customer for status confirmation</t>
        </is>
      </c>
      <c r="N16" s="23" t="inlineStr">
        <is>
          <t>Offline 2.1 day(s); No customer feedback on file</t>
        </is>
      </c>
      <c r="O16" s="23" t="inlineStr">
        <is>
          <t>Tilenga, BuliisaUnnamed Road, Uganda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27" t="inlineStr">
        <is>
          <t>Asset Plate</t>
        </is>
      </c>
      <c r="B1" s="27" t="inlineStr">
        <is>
          <t>Status</t>
        </is>
      </c>
      <c r="C1" s="27" t="inlineStr">
        <is>
          <t>Severity</t>
        </is>
      </c>
      <c r="D1" s="27" t="inlineStr">
        <is>
          <t>Days Offline</t>
        </is>
      </c>
      <c r="E1" s="27" t="inlineStr">
        <is>
          <t>Teletrac</t>
        </is>
      </c>
      <c r="F1" s="27" t="inlineStr">
        <is>
          <t>MiX Unity</t>
        </is>
      </c>
      <c r="G1" s="27" t="inlineStr">
        <is>
          <t>FT Cloud Camera</t>
        </is>
      </c>
      <c r="H1" s="27" t="inlineStr">
        <is>
          <t>Border Risk</t>
        </is>
      </c>
      <c r="I1" s="27" t="inlineStr">
        <is>
          <t>Nearest Border</t>
        </is>
      </c>
      <c r="J1" s="27" t="inlineStr">
        <is>
          <t>Distance (km)</t>
        </is>
      </c>
      <c r="K1" s="27" t="inlineStr">
        <is>
          <t>Customer Feedback</t>
        </is>
      </c>
      <c r="L1" s="27" t="inlineStr">
        <is>
          <t>Recommended Action</t>
        </is>
      </c>
      <c r="M1" s="27" t="inlineStr">
        <is>
          <t>Investigation Reasons</t>
        </is>
      </c>
      <c r="N1" s="27" t="inlineStr">
        <is>
          <t>Last Known Location</t>
        </is>
      </c>
    </row>
    <row r="2">
      <c r="A2" s="15" t="inlineStr">
        <is>
          <t>UBQ545X</t>
        </is>
      </c>
      <c r="B2" s="17" t="inlineStr">
        <is>
          <t>Pending Customer Confirmation</t>
        </is>
      </c>
      <c r="C2" s="15" t="inlineStr">
        <is>
          <t>Awaiting Confirmation</t>
        </is>
      </c>
      <c r="D2" s="15" t="n">
        <v>109.9</v>
      </c>
      <c r="E2" s="15" t="inlineStr">
        <is>
          <t>N/A</t>
        </is>
      </c>
      <c r="F2" s="15" t="inlineStr">
        <is>
          <t>Online</t>
        </is>
      </c>
      <c r="G2" s="15" t="inlineStr">
        <is>
          <t>Offline</t>
        </is>
      </c>
      <c r="H2" s="15" t="inlineStr">
        <is>
          <t>No</t>
        </is>
      </c>
      <c r="I2" s="15" t="inlineStr"/>
      <c r="J2" s="15" t="inlineStr"/>
      <c r="K2" s="15" t="inlineStr"/>
      <c r="L2" s="15" t="inlineStr">
        <is>
          <t>Recover device - long-term fault, schedule field recovery</t>
        </is>
      </c>
      <c r="M2" s="15" t="inlineStr">
        <is>
          <t>Offline 109.9 day(s); No customer feedback on file</t>
        </is>
      </c>
      <c r="N2" s="15" t="inlineStr">
        <is>
          <t>Limuru, Nduma., KenyaB3, Kenya</t>
        </is>
      </c>
    </row>
    <row r="3">
      <c r="A3" s="15" t="inlineStr">
        <is>
          <t>UBQ766P</t>
        </is>
      </c>
      <c r="B3" s="17" t="inlineStr">
        <is>
          <t>Pending Customer Confirmation</t>
        </is>
      </c>
      <c r="C3" s="15" t="inlineStr">
        <is>
          <t>Awaiting Confirmation</t>
        </is>
      </c>
      <c r="D3" s="15" t="n">
        <v>95.59999999999999</v>
      </c>
      <c r="E3" s="15" t="inlineStr">
        <is>
          <t>Online</t>
        </is>
      </c>
      <c r="F3" s="15" t="inlineStr">
        <is>
          <t>Online</t>
        </is>
      </c>
      <c r="G3" s="15" t="inlineStr">
        <is>
          <t>Offline</t>
        </is>
      </c>
      <c r="H3" s="15" t="inlineStr">
        <is>
          <t>No</t>
        </is>
      </c>
      <c r="I3" s="15" t="inlineStr"/>
      <c r="J3" s="15" t="inlineStr"/>
      <c r="K3" s="15" t="inlineStr"/>
      <c r="L3" s="15" t="inlineStr">
        <is>
          <t>Recover device - long-term fault, schedule field recovery</t>
        </is>
      </c>
      <c r="M3" s="15" t="inlineStr">
        <is>
          <t>Offline 95.6 day(s); No customer feedback on file</t>
        </is>
      </c>
      <c r="N3" s="15" t="inlineStr">
        <is>
          <t>Butto, Wakiso, Central Region, Uganda</t>
        </is>
      </c>
    </row>
    <row r="4">
      <c r="A4" s="15" t="inlineStr">
        <is>
          <t>UBQ763P</t>
        </is>
      </c>
      <c r="B4" s="17" t="inlineStr">
        <is>
          <t>Pending Customer Confirmation</t>
        </is>
      </c>
      <c r="C4" s="15" t="inlineStr">
        <is>
          <t>Awaiting Confirmation</t>
        </is>
      </c>
      <c r="D4" s="15" t="n">
        <v>91.5</v>
      </c>
      <c r="E4" s="15" t="inlineStr">
        <is>
          <t>N/A</t>
        </is>
      </c>
      <c r="F4" s="15" t="inlineStr">
        <is>
          <t>Online</t>
        </is>
      </c>
      <c r="G4" s="15" t="inlineStr">
        <is>
          <t>Offline</t>
        </is>
      </c>
      <c r="H4" s="15" t="inlineStr">
        <is>
          <t>No</t>
        </is>
      </c>
      <c r="I4" s="15" t="inlineStr"/>
      <c r="J4" s="15" t="inlineStr"/>
      <c r="K4" s="15" t="inlineStr"/>
      <c r="L4" s="15" t="inlineStr">
        <is>
          <t>Recover device - long-term fault, schedule field recovery</t>
        </is>
      </c>
      <c r="M4" s="15" t="inlineStr">
        <is>
          <t>Offline 91.5 day(s); No customer feedback on file</t>
        </is>
      </c>
      <c r="N4" s="15" t="inlineStr">
        <is>
          <t>MALABA, UgandaJ7Q5+Q5J, Malaba, Uganda</t>
        </is>
      </c>
    </row>
    <row r="5">
      <c r="A5" s="15" t="inlineStr">
        <is>
          <t>UBQ536X</t>
        </is>
      </c>
      <c r="B5" s="17" t="inlineStr">
        <is>
          <t>Pending Customer Confirmation</t>
        </is>
      </c>
      <c r="C5" s="15" t="inlineStr">
        <is>
          <t>Awaiting Confirmation</t>
        </is>
      </c>
      <c r="D5" s="15" t="n">
        <v>67.8</v>
      </c>
      <c r="E5" s="15" t="inlineStr">
        <is>
          <t>Online</t>
        </is>
      </c>
      <c r="F5" s="15" t="inlineStr">
        <is>
          <t>Online</t>
        </is>
      </c>
      <c r="G5" s="15" t="inlineStr">
        <is>
          <t>Offline</t>
        </is>
      </c>
      <c r="H5" s="15" t="inlineStr">
        <is>
          <t>No</t>
        </is>
      </c>
      <c r="I5" s="15" t="inlineStr"/>
      <c r="J5" s="15" t="inlineStr"/>
      <c r="K5" s="15" t="inlineStr"/>
      <c r="L5" s="15" t="inlineStr">
        <is>
          <t>Recover device - long-term fault, schedule field recovery</t>
        </is>
      </c>
      <c r="M5" s="15" t="inlineStr">
        <is>
          <t>Offline 67.8 day(s); No customer feedback on file</t>
        </is>
      </c>
      <c r="N5" s="15" t="inlineStr">
        <is>
          <t>Rwenzori Bottling Company, 592, Jinja - Kampala Road, Seeta, Baggala, Mukono, Central Region, Uganda</t>
        </is>
      </c>
    </row>
    <row r="6">
      <c r="A6" s="15" t="inlineStr">
        <is>
          <t>UBQ375Q</t>
        </is>
      </c>
      <c r="B6" s="17" t="inlineStr">
        <is>
          <t>Pending Customer Confirmation</t>
        </is>
      </c>
      <c r="C6" s="15" t="inlineStr">
        <is>
          <t>Awaiting Confirmation</t>
        </is>
      </c>
      <c r="D6" s="15" t="n">
        <v>48.7</v>
      </c>
      <c r="E6" s="15" t="inlineStr">
        <is>
          <t>N/A</t>
        </is>
      </c>
      <c r="F6" s="15" t="inlineStr">
        <is>
          <t>Online</t>
        </is>
      </c>
      <c r="G6" s="15" t="inlineStr">
        <is>
          <t>Offline</t>
        </is>
      </c>
      <c r="H6" s="15" t="inlineStr">
        <is>
          <t>No</t>
        </is>
      </c>
      <c r="I6" s="15" t="inlineStr"/>
      <c r="J6" s="15" t="inlineStr"/>
      <c r="K6" s="15" t="inlineStr"/>
      <c r="L6" s="15" t="inlineStr">
        <is>
          <t>Recover device - long-term fault, schedule field recovery</t>
        </is>
      </c>
      <c r="M6" s="15" t="inlineStr">
        <is>
          <t>Offline 48.7 day(s); No customer feedback on file</t>
        </is>
      </c>
      <c r="N6" s="15" t="inlineStr">
        <is>
          <t>Tsavo NP KenyaMombasa Road, Kenya</t>
        </is>
      </c>
    </row>
    <row r="7">
      <c r="A7" s="15" t="inlineStr">
        <is>
          <t>UBQ539X</t>
        </is>
      </c>
      <c r="B7" s="17" t="inlineStr">
        <is>
          <t>Pending Customer Confirmation</t>
        </is>
      </c>
      <c r="C7" s="15" t="inlineStr">
        <is>
          <t>Awaiting Confirmation</t>
        </is>
      </c>
      <c r="D7" s="15" t="n">
        <v>8.800000000000001</v>
      </c>
      <c r="E7" s="15" t="inlineStr">
        <is>
          <t>Offline</t>
        </is>
      </c>
      <c r="F7" s="15" t="inlineStr">
        <is>
          <t>Online</t>
        </is>
      </c>
      <c r="G7" s="15" t="inlineStr">
        <is>
          <t>N/A</t>
        </is>
      </c>
      <c r="H7" s="15" t="inlineStr">
        <is>
          <t>No</t>
        </is>
      </c>
      <c r="I7" s="15" t="inlineStr"/>
      <c r="J7" s="15" t="inlineStr"/>
      <c r="K7" s="15" t="inlineStr"/>
      <c r="L7" s="15" t="inlineStr">
        <is>
          <t>Schedule physical inspection this week</t>
        </is>
      </c>
      <c r="M7" s="15" t="inlineStr">
        <is>
          <t>Offline 8.8 day(s); No customer feedback on file</t>
        </is>
      </c>
      <c r="N7" s="15" t="inlineStr">
        <is>
          <t>Limuru-Maimahiu Road, Mai Mahiu, Lari/Kirenya, Lari, Kiambu</t>
        </is>
      </c>
    </row>
    <row r="8">
      <c r="A8" s="15" t="inlineStr">
        <is>
          <t>UBN586C</t>
        </is>
      </c>
      <c r="B8" s="17" t="inlineStr">
        <is>
          <t>Pending Customer Confirmation</t>
        </is>
      </c>
      <c r="C8" s="15" t="inlineStr">
        <is>
          <t>Awaiting Confirmation</t>
        </is>
      </c>
      <c r="D8" s="15" t="n">
        <v>7.9</v>
      </c>
      <c r="E8" s="15" t="inlineStr">
        <is>
          <t>Online</t>
        </is>
      </c>
      <c r="F8" s="15" t="inlineStr">
        <is>
          <t>Online</t>
        </is>
      </c>
      <c r="G8" s="15" t="inlineStr">
        <is>
          <t>Offline</t>
        </is>
      </c>
      <c r="H8" s="15" t="inlineStr">
        <is>
          <t>No</t>
        </is>
      </c>
      <c r="I8" s="15" t="inlineStr"/>
      <c r="J8" s="15" t="inlineStr"/>
      <c r="K8" s="15" t="inlineStr"/>
      <c r="L8" s="15" t="inlineStr">
        <is>
          <t>Schedule physical inspection this week</t>
        </is>
      </c>
      <c r="M8" s="15" t="inlineStr">
        <is>
          <t>Offline 7.9 day(s); No customer feedback on file</t>
        </is>
      </c>
      <c r="N8" s="15" t="inlineStr">
        <is>
          <t>Nakuru - Eldoret Road, Tendeno/Sorget, Eldama Ravine, Baringo</t>
        </is>
      </c>
    </row>
    <row r="9">
      <c r="A9" s="15" t="inlineStr">
        <is>
          <t>UBQ764P</t>
        </is>
      </c>
      <c r="B9" s="17" t="inlineStr">
        <is>
          <t>Pending Customer Confirmation</t>
        </is>
      </c>
      <c r="C9" s="15" t="inlineStr">
        <is>
          <t>Awaiting Confirmation</t>
        </is>
      </c>
      <c r="D9" s="15" t="n">
        <v>6.9</v>
      </c>
      <c r="E9" s="15" t="inlineStr">
        <is>
          <t>Offline</t>
        </is>
      </c>
      <c r="F9" s="15" t="inlineStr">
        <is>
          <t>Online</t>
        </is>
      </c>
      <c r="G9" s="15" t="inlineStr">
        <is>
          <t>N/A</t>
        </is>
      </c>
      <c r="H9" s="15" t="inlineStr">
        <is>
          <t>No</t>
        </is>
      </c>
      <c r="I9" s="15" t="inlineStr"/>
      <c r="J9" s="15" t="inlineStr"/>
      <c r="K9" s="15" t="inlineStr"/>
      <c r="L9" s="15" t="inlineStr">
        <is>
          <t>Contact customer for status confirmation</t>
        </is>
      </c>
      <c r="M9" s="15" t="inlineStr">
        <is>
          <t>Offline 6.9 day(s); No customer feedback on file</t>
        </is>
      </c>
      <c r="N9" s="15" t="inlineStr">
        <is>
          <t>Mombasa Road, Salama, Kilome, Makueni</t>
        </is>
      </c>
    </row>
    <row r="10">
      <c r="A10" s="15" t="inlineStr">
        <is>
          <t>UBQ541X</t>
        </is>
      </c>
      <c r="B10" s="17" t="inlineStr">
        <is>
          <t>Pending Customer Confirmation</t>
        </is>
      </c>
      <c r="C10" s="15" t="inlineStr">
        <is>
          <t>Awaiting Confirmation</t>
        </is>
      </c>
      <c r="D10" s="15" t="n">
        <v>6.1</v>
      </c>
      <c r="E10" s="15" t="inlineStr">
        <is>
          <t>Offline</t>
        </is>
      </c>
      <c r="F10" s="15" t="inlineStr">
        <is>
          <t>Online</t>
        </is>
      </c>
      <c r="G10" s="15" t="inlineStr">
        <is>
          <t>Online</t>
        </is>
      </c>
      <c r="H10" s="15" t="inlineStr">
        <is>
          <t>No</t>
        </is>
      </c>
      <c r="I10" s="15" t="inlineStr"/>
      <c r="J10" s="15" t="inlineStr"/>
      <c r="K10" s="15" t="inlineStr"/>
      <c r="L10" s="15" t="inlineStr">
        <is>
          <t>Contact customer for status confirmation</t>
        </is>
      </c>
      <c r="M10" s="15" t="inlineStr">
        <is>
          <t>Offline 6.1 day(s); No customer feedback on file</t>
        </is>
      </c>
      <c r="N10" s="15" t="inlineStr">
        <is>
          <t>Nairobi-Nakuru Road, Eburu, Mbaruk/Eburu, Gilgil, Nakuru</t>
        </is>
      </c>
    </row>
    <row r="11">
      <c r="A11" s="15" t="inlineStr">
        <is>
          <t>UBQ756P</t>
        </is>
      </c>
      <c r="B11" s="17" t="inlineStr">
        <is>
          <t>Pending Customer Confirmation</t>
        </is>
      </c>
      <c r="C11" s="15" t="inlineStr">
        <is>
          <t>Awaiting Confirmation</t>
        </is>
      </c>
      <c r="D11" s="15" t="n">
        <v>4.9</v>
      </c>
      <c r="E11" s="15" t="inlineStr">
        <is>
          <t>Offline</t>
        </is>
      </c>
      <c r="F11" s="15" t="inlineStr">
        <is>
          <t>Online</t>
        </is>
      </c>
      <c r="G11" s="15" t="inlineStr">
        <is>
          <t>N/A</t>
        </is>
      </c>
      <c r="H11" s="15" t="inlineStr">
        <is>
          <t>No</t>
        </is>
      </c>
      <c r="I11" s="15" t="inlineStr"/>
      <c r="J11" s="15" t="inlineStr"/>
      <c r="K11" s="15" t="inlineStr"/>
      <c r="L11" s="15" t="inlineStr">
        <is>
          <t>Contact customer for status confirmation</t>
        </is>
      </c>
      <c r="M11" s="15" t="inlineStr">
        <is>
          <t>Offline 4.9 day(s); No customer feedback on file</t>
        </is>
      </c>
      <c r="N11" s="15" t="inlineStr">
        <is>
          <t>Lira - Mbale Road, Namunsi, Mbale City, Bugisa sub-region, Eastern Region, Uganda</t>
        </is>
      </c>
    </row>
    <row r="12">
      <c r="A12" s="15" t="inlineStr">
        <is>
          <t>UBQ542X</t>
        </is>
      </c>
      <c r="B12" s="17" t="inlineStr">
        <is>
          <t>Pending Customer Confirmation</t>
        </is>
      </c>
      <c r="C12" s="15" t="inlineStr">
        <is>
          <t>Awaiting Confirmation</t>
        </is>
      </c>
      <c r="D12" s="15" t="n">
        <v>4.7</v>
      </c>
      <c r="E12" s="15" t="inlineStr">
        <is>
          <t>Offline</t>
        </is>
      </c>
      <c r="F12" s="15" t="inlineStr">
        <is>
          <t>Online</t>
        </is>
      </c>
      <c r="G12" s="15" t="inlineStr">
        <is>
          <t>N/A</t>
        </is>
      </c>
      <c r="H12" s="15" t="inlineStr">
        <is>
          <t>No</t>
        </is>
      </c>
      <c r="I12" s="15" t="inlineStr"/>
      <c r="J12" s="15" t="inlineStr"/>
      <c r="K12" s="15" t="inlineStr"/>
      <c r="L12" s="15" t="inlineStr">
        <is>
          <t>Contact customer for status confirmation</t>
        </is>
      </c>
      <c r="M12" s="15" t="inlineStr">
        <is>
          <t>Offline 4.7 day(s); No customer feedback on file</t>
        </is>
      </c>
      <c r="N12" s="15" t="inlineStr">
        <is>
          <t>Kenya Road, Malaba 'a' South, Tororo, Eastern Region, Uganda</t>
        </is>
      </c>
    </row>
    <row r="13">
      <c r="A13" s="15" t="inlineStr">
        <is>
          <t>UBQ543X</t>
        </is>
      </c>
      <c r="B13" s="17" t="inlineStr">
        <is>
          <t>Pending Customer Confirmation</t>
        </is>
      </c>
      <c r="C13" s="15" t="inlineStr">
        <is>
          <t>Awaiting Confirmation</t>
        </is>
      </c>
      <c r="D13" s="15" t="n">
        <v>2.3</v>
      </c>
      <c r="E13" s="15" t="inlineStr">
        <is>
          <t>N/A</t>
        </is>
      </c>
      <c r="F13" s="15" t="inlineStr">
        <is>
          <t>Online</t>
        </is>
      </c>
      <c r="G13" s="15" t="inlineStr">
        <is>
          <t>Offline</t>
        </is>
      </c>
      <c r="H13" s="15" t="inlineStr">
        <is>
          <t>No</t>
        </is>
      </c>
      <c r="I13" s="15" t="inlineStr"/>
      <c r="J13" s="15" t="inlineStr"/>
      <c r="K13" s="15" t="inlineStr"/>
      <c r="L13" s="15" t="inlineStr">
        <is>
          <t>Contact customer for status confirmation</t>
        </is>
      </c>
      <c r="M13" s="15" t="inlineStr">
        <is>
          <t>Offline 2.3 day(s); No customer feedback on file</t>
        </is>
      </c>
      <c r="N13" s="15" t="inlineStr">
        <is>
          <t>Soroti- Dokolo Road, Uganda</t>
        </is>
      </c>
    </row>
    <row r="14">
      <c r="A14" s="15" t="inlineStr">
        <is>
          <t>UBF698U</t>
        </is>
      </c>
      <c r="B14" s="17" t="inlineStr">
        <is>
          <t>Pending Customer Confirmation</t>
        </is>
      </c>
      <c r="C14" s="15" t="inlineStr">
        <is>
          <t>Awaiting Confirmation</t>
        </is>
      </c>
      <c r="D14" s="15" t="n">
        <v>2</v>
      </c>
      <c r="E14" s="15" t="inlineStr">
        <is>
          <t>Online</t>
        </is>
      </c>
      <c r="F14" s="15" t="inlineStr">
        <is>
          <t>Offline</t>
        </is>
      </c>
      <c r="G14" s="15" t="inlineStr">
        <is>
          <t>N/A</t>
        </is>
      </c>
      <c r="H14" s="15" t="inlineStr">
        <is>
          <t>No</t>
        </is>
      </c>
      <c r="I14" s="15" t="inlineStr"/>
      <c r="J14" s="15" t="inlineStr"/>
      <c r="K14" s="15" t="inlineStr"/>
      <c r="L14" s="15" t="inlineStr">
        <is>
          <t>Contact customer for status confirmation</t>
        </is>
      </c>
      <c r="M14" s="15" t="inlineStr">
        <is>
          <t>Offline 2.0 day(s); No customer feedback on file</t>
        </is>
      </c>
      <c r="N14" s="15" t="inlineStr">
        <is>
          <t>lilongwe, Airport, Changamwe, Mombasa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24" customWidth="1" min="3" max="3"/>
    <col width="12" customWidth="1" min="4" max="4"/>
    <col width="12" customWidth="1" min="5" max="5"/>
    <col width="12" customWidth="1" min="6" max="6"/>
    <col width="14" customWidth="1" min="7" max="7"/>
    <col width="12" customWidth="1" min="8" max="8"/>
    <col width="20" customWidth="1" min="9" max="9"/>
    <col width="12" customWidth="1" min="10" max="10"/>
    <col width="34" customWidth="1" min="11" max="11"/>
    <col width="32" customWidth="1" min="12" max="12"/>
    <col width="46" customWidth="1" min="13" max="13"/>
    <col width="36" customWidth="1" min="14" max="14"/>
  </cols>
  <sheetData>
    <row r="1">
      <c r="A1" s="22" t="inlineStr">
        <is>
          <t>Asset Plate</t>
        </is>
      </c>
      <c r="B1" s="22" t="inlineStr">
        <is>
          <t>Status</t>
        </is>
      </c>
      <c r="C1" s="22" t="inlineStr">
        <is>
          <t>Severity</t>
        </is>
      </c>
      <c r="D1" s="22" t="inlineStr">
        <is>
          <t>Days Offline</t>
        </is>
      </c>
      <c r="E1" s="22" t="inlineStr">
        <is>
          <t>Teletrac</t>
        </is>
      </c>
      <c r="F1" s="22" t="inlineStr">
        <is>
          <t>MiX Unity</t>
        </is>
      </c>
      <c r="G1" s="22" t="inlineStr">
        <is>
          <t>FT Cloud Camera</t>
        </is>
      </c>
      <c r="H1" s="22" t="inlineStr">
        <is>
          <t>Border Risk</t>
        </is>
      </c>
      <c r="I1" s="22" t="inlineStr">
        <is>
          <t>Nearest Border</t>
        </is>
      </c>
      <c r="J1" s="22" t="inlineStr">
        <is>
          <t>Distance (km)</t>
        </is>
      </c>
      <c r="K1" s="22" t="inlineStr">
        <is>
          <t>Customer Feedback</t>
        </is>
      </c>
      <c r="L1" s="22" t="inlineStr">
        <is>
          <t>Recommended Action</t>
        </is>
      </c>
      <c r="M1" s="22" t="inlineStr">
        <is>
          <t>Investigation Reasons</t>
        </is>
      </c>
      <c r="N1" s="22" t="inlineStr">
        <is>
          <t>Last Known Location</t>
        </is>
      </c>
    </row>
    <row r="2">
      <c r="A2" s="15" t="inlineStr">
        <is>
          <t>UBN593C</t>
        </is>
      </c>
      <c r="B2" s="19" t="inlineStr">
        <is>
          <t>Technical Escalation</t>
        </is>
      </c>
      <c r="C2" s="15" t="inlineStr">
        <is>
          <t>Elevated - Monitor</t>
        </is>
      </c>
      <c r="D2" s="15" t="n">
        <v>2.2</v>
      </c>
      <c r="E2" s="15" t="inlineStr">
        <is>
          <t>Offline</t>
        </is>
      </c>
      <c r="F2" s="15" t="inlineStr">
        <is>
          <t>Offline</t>
        </is>
      </c>
      <c r="G2" s="15" t="inlineStr">
        <is>
          <t>N/A</t>
        </is>
      </c>
      <c r="H2" s="20" t="inlineStr">
        <is>
          <t>Yes</t>
        </is>
      </c>
      <c r="I2" s="15" t="inlineStr">
        <is>
          <t>Malaba (Kenya/Uganda)</t>
        </is>
      </c>
      <c r="J2" s="15" t="n">
        <v>0.8</v>
      </c>
      <c r="K2" s="15" t="inlineStr"/>
      <c r="L2" s="15" t="inlineStr">
        <is>
          <t>Immediate escalation - possible cross-border loss</t>
        </is>
      </c>
      <c r="M2" s="15" t="inlineStr">
        <is>
          <t>Offline 2.2 day(s); Offline on 2 independent platforms; Last known position near a high-incident border crossing; No customer feedback on file</t>
        </is>
      </c>
      <c r="N2" s="15" t="inlineStr">
        <is>
          <t>Kenya Road, Malaba 'a' South, Tororo, Eastern Region, Uganda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18" customWidth="1" min="1" max="1"/>
    <col width="26" customWidth="1" min="2" max="2"/>
  </cols>
  <sheetData>
    <row r="1">
      <c r="A1" s="27" t="inlineStr">
        <is>
          <t>Asset Plate</t>
        </is>
      </c>
      <c r="B1" s="27" t="inlineStr">
        <is>
          <t>Current Status</t>
        </is>
      </c>
    </row>
    <row r="2">
      <c r="A2" s="28" t="inlineStr">
        <is>
          <t>No prior-day snapshot yet.</t>
        </is>
      </c>
      <c r="B2" t="inlineStr">
        <is>
          <t>Starts tracking from tomorrow's run.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42" customWidth="1" min="5" max="5"/>
  </cols>
  <sheetData>
    <row r="1">
      <c r="A1" s="29" t="inlineStr">
        <is>
          <t>Asset Plate</t>
        </is>
      </c>
      <c r="B1" s="29" t="inlineStr">
        <is>
          <t>Teletrac</t>
        </is>
      </c>
      <c r="C1" s="29" t="inlineStr">
        <is>
          <t>MiX Unity</t>
        </is>
      </c>
      <c r="D1" s="29" t="inlineStr">
        <is>
          <t>FT Cloud Camera</t>
        </is>
      </c>
      <c r="E1" s="29" t="inlineStr">
        <is>
          <t>Last Known Location</t>
        </is>
      </c>
    </row>
    <row r="2">
      <c r="A2" s="23" t="inlineStr">
        <is>
          <t>KCU032Y</t>
        </is>
      </c>
      <c r="B2" s="23" t="inlineStr">
        <is>
          <t>N/A</t>
        </is>
      </c>
      <c r="C2" s="23" t="inlineStr">
        <is>
          <t>Online</t>
        </is>
      </c>
      <c r="D2" s="23" t="inlineStr">
        <is>
          <t>N/A</t>
        </is>
      </c>
      <c r="E2" s="23" t="inlineStr">
        <is>
          <t>Mombasa, KenyaXJ68+7VR, Mombasa, Kenya</t>
        </is>
      </c>
    </row>
    <row r="3">
      <c r="A3" s="23" t="inlineStr">
        <is>
          <t>KCU037Y</t>
        </is>
      </c>
      <c r="B3" s="23" t="inlineStr">
        <is>
          <t>N/A</t>
        </is>
      </c>
      <c r="C3" s="23" t="inlineStr">
        <is>
          <t>Online</t>
        </is>
      </c>
      <c r="D3" s="23" t="inlineStr">
        <is>
          <t>N/A</t>
        </is>
      </c>
      <c r="E3" s="23" t="inlineStr">
        <is>
          <t>Jinja, Uganda46 Oboja Rd, Jinja, Uganda</t>
        </is>
      </c>
    </row>
    <row r="4">
      <c r="A4" s="23" t="inlineStr">
        <is>
          <t>KCU039Y</t>
        </is>
      </c>
      <c r="B4" s="23" t="inlineStr">
        <is>
          <t>N/A</t>
        </is>
      </c>
      <c r="C4" s="23" t="inlineStr">
        <is>
          <t>Online</t>
        </is>
      </c>
      <c r="D4" s="23" t="inlineStr">
        <is>
          <t>N/A</t>
        </is>
      </c>
      <c r="E4" s="23" t="inlineStr">
        <is>
          <t>Mtito Andei17 Mtito Andei Road, Nairobi, Kenya</t>
        </is>
      </c>
    </row>
    <row r="5">
      <c r="A5" s="23" t="inlineStr">
        <is>
          <t>KCU043Y</t>
        </is>
      </c>
      <c r="B5" s="23" t="inlineStr">
        <is>
          <t>N/A</t>
        </is>
      </c>
      <c r="C5" s="23" t="inlineStr">
        <is>
          <t>Online</t>
        </is>
      </c>
      <c r="D5" s="23" t="inlineStr">
        <is>
          <t>N/A</t>
        </is>
      </c>
      <c r="E5" s="23" t="inlineStr">
        <is>
          <t>MALABA, UgandaJ7R6+G4Q, Tororo, Uganda</t>
        </is>
      </c>
    </row>
    <row r="6">
      <c r="A6" s="23" t="inlineStr">
        <is>
          <t>UA014CL</t>
        </is>
      </c>
      <c r="B6" s="23" t="inlineStr">
        <is>
          <t>N/A</t>
        </is>
      </c>
      <c r="C6" s="23" t="inlineStr">
        <is>
          <t>Online</t>
        </is>
      </c>
      <c r="D6" s="23" t="inlineStr">
        <is>
          <t>N/A</t>
        </is>
      </c>
      <c r="E6" s="23" t="inlineStr">
        <is>
          <t>Tilenga, BuliisaUnnamed Road, Uganda</t>
        </is>
      </c>
    </row>
    <row r="7">
      <c r="A7" s="23" t="inlineStr">
        <is>
          <t>UA220BN</t>
        </is>
      </c>
      <c r="B7" s="23" t="inlineStr">
        <is>
          <t>N/A</t>
        </is>
      </c>
      <c r="C7" s="23" t="inlineStr">
        <is>
          <t>Online</t>
        </is>
      </c>
      <c r="D7" s="23" t="inlineStr">
        <is>
          <t>N/A</t>
        </is>
      </c>
      <c r="E7" s="23" t="inlineStr">
        <is>
          <t>Tilenga, BuliisaUnnamed Road, Kimoli, Uganda</t>
        </is>
      </c>
    </row>
    <row r="8">
      <c r="A8" s="23" t="inlineStr">
        <is>
          <t>UA226AX</t>
        </is>
      </c>
      <c r="B8" s="23" t="inlineStr">
        <is>
          <t>N/A</t>
        </is>
      </c>
      <c r="C8" s="23" t="inlineStr">
        <is>
          <t>Online</t>
        </is>
      </c>
      <c r="D8" s="23" t="inlineStr">
        <is>
          <t>N/A</t>
        </is>
      </c>
      <c r="E8" s="23" t="inlineStr">
        <is>
          <t>Naivasha, KenyaNairobi - Nakuru Hwy, Kenya</t>
        </is>
      </c>
    </row>
    <row r="9">
      <c r="A9" s="23" t="inlineStr">
        <is>
          <t>UA421CB</t>
        </is>
      </c>
      <c r="B9" s="23" t="inlineStr">
        <is>
          <t>N/A</t>
        </is>
      </c>
      <c r="C9" s="23" t="inlineStr">
        <is>
          <t>Online</t>
        </is>
      </c>
      <c r="D9" s="23" t="inlineStr">
        <is>
          <t>N/A</t>
        </is>
      </c>
      <c r="E9" s="23" t="inlineStr">
        <is>
          <t>Tilenga, BuliisaUnnamed Road, Kimoli, Uganda</t>
        </is>
      </c>
    </row>
    <row r="10">
      <c r="A10" s="23" t="inlineStr">
        <is>
          <t>UA458AX</t>
        </is>
      </c>
      <c r="B10" s="23" t="inlineStr">
        <is>
          <t>N/A</t>
        </is>
      </c>
      <c r="C10" s="23" t="inlineStr">
        <is>
          <t>Online</t>
        </is>
      </c>
      <c r="D10" s="23" t="inlineStr">
        <is>
          <t>N/A</t>
        </is>
      </c>
      <c r="E10" s="23" t="inlineStr">
        <is>
          <t>MALABA, UgandaJ7Q9+2M5, A104, Malaba, Kenya</t>
        </is>
      </c>
    </row>
    <row r="11">
      <c r="A11" s="23" t="inlineStr">
        <is>
          <t>UA524AU</t>
        </is>
      </c>
      <c r="B11" s="23" t="inlineStr">
        <is>
          <t>N/A</t>
        </is>
      </c>
      <c r="C11" s="23" t="inlineStr">
        <is>
          <t>Online</t>
        </is>
      </c>
      <c r="D11" s="23" t="inlineStr">
        <is>
          <t>N/A</t>
        </is>
      </c>
      <c r="E11" s="23" t="inlineStr">
        <is>
          <t>Mau SummitNairobi Rd, Kenya</t>
        </is>
      </c>
    </row>
    <row r="12">
      <c r="A12" s="23" t="inlineStr">
        <is>
          <t>UA552AU</t>
        </is>
      </c>
      <c r="B12" s="23" t="inlineStr">
        <is>
          <t>N/A</t>
        </is>
      </c>
      <c r="C12" s="23" t="inlineStr">
        <is>
          <t>Online</t>
        </is>
      </c>
      <c r="D12" s="23" t="inlineStr">
        <is>
          <t>N/A</t>
        </is>
      </c>
      <c r="E12" s="23" t="inlineStr">
        <is>
          <t>Kampala-Hoima, Uganda</t>
        </is>
      </c>
    </row>
    <row r="13">
      <c r="A13" s="23" t="inlineStr">
        <is>
          <t>UA571AU</t>
        </is>
      </c>
      <c r="B13" s="23" t="inlineStr">
        <is>
          <t>N/A</t>
        </is>
      </c>
      <c r="C13" s="23" t="inlineStr">
        <is>
          <t>Online</t>
        </is>
      </c>
      <c r="D13" s="23" t="inlineStr">
        <is>
          <t>N/A</t>
        </is>
      </c>
      <c r="E13" s="23" t="inlineStr">
        <is>
          <t>Kamdini - Lira, Uganda</t>
        </is>
      </c>
    </row>
    <row r="14">
      <c r="A14" s="23" t="inlineStr">
        <is>
          <t>UA746CG</t>
        </is>
      </c>
      <c r="B14" s="23" t="inlineStr">
        <is>
          <t>N/A</t>
        </is>
      </c>
      <c r="C14" s="23" t="inlineStr">
        <is>
          <t>Online</t>
        </is>
      </c>
      <c r="D14" s="23" t="inlineStr">
        <is>
          <t>N/A</t>
        </is>
      </c>
      <c r="E14" s="23" t="inlineStr">
        <is>
          <t>Tilenga, BuliisaUnnamed Road, Kimoli, Uganda</t>
        </is>
      </c>
    </row>
    <row r="15">
      <c r="A15" s="23" t="inlineStr">
        <is>
          <t>UA750BG</t>
        </is>
      </c>
      <c r="B15" s="23" t="inlineStr">
        <is>
          <t>N/A</t>
        </is>
      </c>
      <c r="C15" s="23" t="inlineStr">
        <is>
          <t>Online</t>
        </is>
      </c>
      <c r="D15" s="23" t="inlineStr">
        <is>
          <t>N/A</t>
        </is>
      </c>
      <c r="E15" s="23" t="inlineStr">
        <is>
          <t>Nakuru, KenyaP2G7+MQ4, Nakuru, Kenya</t>
        </is>
      </c>
    </row>
    <row r="16">
      <c r="A16" s="23" t="inlineStr">
        <is>
          <t>UA752BG</t>
        </is>
      </c>
      <c r="B16" s="23" t="inlineStr">
        <is>
          <t>N/A</t>
        </is>
      </c>
      <c r="C16" s="23" t="inlineStr">
        <is>
          <t>Online</t>
        </is>
      </c>
      <c r="D16" s="23" t="inlineStr">
        <is>
          <t>N/A</t>
        </is>
      </c>
      <c r="E16" s="23" t="inlineStr">
        <is>
          <t>Southern Bypass, NairobiNgong Forest Rd, Nairobi, Kenya</t>
        </is>
      </c>
    </row>
    <row r="17">
      <c r="A17" s="23" t="inlineStr">
        <is>
          <t>UA753BG</t>
        </is>
      </c>
      <c r="B17" s="23" t="inlineStr">
        <is>
          <t>N/A</t>
        </is>
      </c>
      <c r="C17" s="23" t="inlineStr">
        <is>
          <t>Online</t>
        </is>
      </c>
      <c r="D17" s="23" t="inlineStr">
        <is>
          <t>N/A</t>
        </is>
      </c>
      <c r="E17" s="23" t="inlineStr">
        <is>
          <t>Kibwezi, KenyaMombasa Road, Kenya</t>
        </is>
      </c>
    </row>
    <row r="18">
      <c r="A18" s="23" t="inlineStr">
        <is>
          <t>UA754BG</t>
        </is>
      </c>
      <c r="B18" s="23" t="inlineStr">
        <is>
          <t>N/A</t>
        </is>
      </c>
      <c r="C18" s="23" t="inlineStr">
        <is>
          <t>Online</t>
        </is>
      </c>
      <c r="D18" s="23" t="inlineStr">
        <is>
          <t>N/A</t>
        </is>
      </c>
      <c r="E18" s="23" t="inlineStr">
        <is>
          <t>Longonot, KenyaOld Naivasha Road, Kenya</t>
        </is>
      </c>
    </row>
    <row r="19">
      <c r="A19" s="23" t="inlineStr">
        <is>
          <t>UA755BG</t>
        </is>
      </c>
      <c r="B19" s="23" t="inlineStr">
        <is>
          <t>N/A</t>
        </is>
      </c>
      <c r="C19" s="23" t="inlineStr">
        <is>
          <t>Online</t>
        </is>
      </c>
      <c r="D19" s="23" t="inlineStr">
        <is>
          <t>N/A</t>
        </is>
      </c>
      <c r="E19" s="23" t="inlineStr">
        <is>
          <t>Mtito Andei, KenyaC328+7QP, Kambu, Kenya</t>
        </is>
      </c>
    </row>
    <row r="20">
      <c r="A20" s="23" t="inlineStr">
        <is>
          <t>UA756BG</t>
        </is>
      </c>
      <c r="B20" s="23" t="inlineStr">
        <is>
          <t>N/A</t>
        </is>
      </c>
      <c r="C20" s="23" t="inlineStr">
        <is>
          <t>Online</t>
        </is>
      </c>
      <c r="D20" s="23" t="inlineStr">
        <is>
          <t>N/A</t>
        </is>
      </c>
      <c r="E20" s="23" t="inlineStr">
        <is>
          <t>Kibwezi, KenyaMombasa Road, Kenya</t>
        </is>
      </c>
    </row>
    <row r="21">
      <c r="A21" s="23" t="inlineStr">
        <is>
          <t>UA757BG</t>
        </is>
      </c>
      <c r="B21" s="23" t="inlineStr">
        <is>
          <t>N/A</t>
        </is>
      </c>
      <c r="C21" s="23" t="inlineStr">
        <is>
          <t>Online</t>
        </is>
      </c>
      <c r="D21" s="23" t="inlineStr">
        <is>
          <t>N/A</t>
        </is>
      </c>
      <c r="E21" s="23" t="inlineStr">
        <is>
          <t>Longonot, Kenya6F74+QFG, Old Naivasha Road, Karagita, Kenya</t>
        </is>
      </c>
    </row>
    <row r="22">
      <c r="A22" s="23" t="inlineStr">
        <is>
          <t>UA758BG</t>
        </is>
      </c>
      <c r="B22" s="23" t="inlineStr">
        <is>
          <t>N/A</t>
        </is>
      </c>
      <c r="C22" s="23" t="inlineStr">
        <is>
          <t>Online</t>
        </is>
      </c>
      <c r="D22" s="23" t="inlineStr">
        <is>
          <t>N/A</t>
        </is>
      </c>
      <c r="E22" s="23" t="inlineStr">
        <is>
          <t>MALABA, KenyaJ7P9+MM9, A109, Malaba, Kenya</t>
        </is>
      </c>
    </row>
    <row r="23">
      <c r="A23" s="23" t="inlineStr">
        <is>
          <t>UA759BG</t>
        </is>
      </c>
      <c r="B23" s="23" t="inlineStr">
        <is>
          <t>N/A</t>
        </is>
      </c>
      <c r="C23" s="23" t="inlineStr">
        <is>
          <t>Online</t>
        </is>
      </c>
      <c r="D23" s="23" t="inlineStr">
        <is>
          <t>N/A</t>
        </is>
      </c>
      <c r="E23" s="23" t="inlineStr">
        <is>
          <t>Kibwezi, KenyaMombasa Road, Kenya</t>
        </is>
      </c>
    </row>
    <row r="24">
      <c r="A24" s="23" t="inlineStr">
        <is>
          <t>UA763BG</t>
        </is>
      </c>
      <c r="B24" s="23" t="inlineStr">
        <is>
          <t>N/A</t>
        </is>
      </c>
      <c r="C24" s="23" t="inlineStr">
        <is>
          <t>Online</t>
        </is>
      </c>
      <c r="D24" s="23" t="inlineStr">
        <is>
          <t>N/A</t>
        </is>
      </c>
      <c r="E24" s="23" t="inlineStr">
        <is>
          <t>Soroti, UgandaSoroti- Dokolo Road, Uganda</t>
        </is>
      </c>
    </row>
    <row r="25">
      <c r="A25" s="23" t="inlineStr">
        <is>
          <t>UA807CP</t>
        </is>
      </c>
      <c r="B25" s="23" t="inlineStr">
        <is>
          <t>N/A</t>
        </is>
      </c>
      <c r="C25" s="23" t="inlineStr">
        <is>
          <t>Online</t>
        </is>
      </c>
      <c r="D25" s="23" t="inlineStr">
        <is>
          <t>N/A</t>
        </is>
      </c>
      <c r="E25" s="23" t="inlineStr">
        <is>
          <t>Tilenga, BuliisaUnnamed Road, Kimoli, Uganda</t>
        </is>
      </c>
    </row>
    <row r="26">
      <c r="A26" s="23" t="inlineStr">
        <is>
          <t>UA840CM</t>
        </is>
      </c>
      <c r="B26" s="23" t="inlineStr">
        <is>
          <t>N/A</t>
        </is>
      </c>
      <c r="C26" s="23" t="inlineStr">
        <is>
          <t>Online</t>
        </is>
      </c>
      <c r="D26" s="23" t="inlineStr">
        <is>
          <t>N/A</t>
        </is>
      </c>
      <c r="E26" s="23" t="inlineStr">
        <is>
          <t>Tilenga, BuliisaUnnamed Road, Kimoli, Uganda</t>
        </is>
      </c>
    </row>
    <row r="27">
      <c r="A27" s="23" t="inlineStr">
        <is>
          <t>UA841AZ</t>
        </is>
      </c>
      <c r="B27" s="23" t="inlineStr">
        <is>
          <t>N/A</t>
        </is>
      </c>
      <c r="C27" s="23" t="inlineStr">
        <is>
          <t>Online</t>
        </is>
      </c>
      <c r="D27" s="23" t="inlineStr">
        <is>
          <t>N/A</t>
        </is>
      </c>
      <c r="E27" s="23" t="inlineStr">
        <is>
          <t>Kenfreight Namanve, Uganda10101 Kireku Mpya Rd, Kampala, Uganda</t>
        </is>
      </c>
    </row>
    <row r="28">
      <c r="A28" s="23" t="inlineStr">
        <is>
          <t>UA865DW</t>
        </is>
      </c>
      <c r="B28" s="23" t="inlineStr">
        <is>
          <t>N/A</t>
        </is>
      </c>
      <c r="C28" s="23" t="inlineStr">
        <is>
          <t>Online</t>
        </is>
      </c>
      <c r="D28" s="23" t="inlineStr">
        <is>
          <t>N/A</t>
        </is>
      </c>
      <c r="E28" s="23" t="inlineStr">
        <is>
          <t>9MHF+37, Kampala, Uganda</t>
        </is>
      </c>
    </row>
    <row r="29">
      <c r="A29" s="23" t="inlineStr">
        <is>
          <t>UA979CG</t>
        </is>
      </c>
      <c r="B29" s="23" t="inlineStr">
        <is>
          <t>N/A</t>
        </is>
      </c>
      <c r="C29" s="23" t="inlineStr">
        <is>
          <t>Online</t>
        </is>
      </c>
      <c r="D29" s="23" t="inlineStr">
        <is>
          <t>N/A</t>
        </is>
      </c>
      <c r="E29" s="23" t="inlineStr">
        <is>
          <t>Tilenga, BuliisaUnnamed Road, Kimoli, Uganda</t>
        </is>
      </c>
    </row>
    <row r="30">
      <c r="A30" s="23" t="inlineStr">
        <is>
          <t>UAJ847C</t>
        </is>
      </c>
      <c r="B30" s="23" t="inlineStr">
        <is>
          <t>N/A</t>
        </is>
      </c>
      <c r="C30" s="23" t="inlineStr">
        <is>
          <t>Online</t>
        </is>
      </c>
      <c r="D30" s="23" t="inlineStr">
        <is>
          <t>N/A</t>
        </is>
      </c>
      <c r="E30" s="23" t="inlineStr">
        <is>
          <t>GTL Butto YardAchon Cl, Uganda</t>
        </is>
      </c>
    </row>
    <row r="31">
      <c r="A31" s="23" t="inlineStr">
        <is>
          <t>UAR919B</t>
        </is>
      </c>
      <c r="B31" s="23" t="inlineStr">
        <is>
          <t>N/A</t>
        </is>
      </c>
      <c r="C31" s="23" t="inlineStr">
        <is>
          <t>Online</t>
        </is>
      </c>
      <c r="D31" s="23" t="inlineStr">
        <is>
          <t>N/A</t>
        </is>
      </c>
      <c r="E31" s="23" t="inlineStr">
        <is>
          <t>Maji Ya ChumviMombasa Road, Kenya</t>
        </is>
      </c>
    </row>
    <row r="32">
      <c r="A32" s="23" t="inlineStr">
        <is>
          <t>UAT110B</t>
        </is>
      </c>
      <c r="B32" s="23" t="inlineStr">
        <is>
          <t>N/A</t>
        </is>
      </c>
      <c r="C32" s="23" t="inlineStr">
        <is>
          <t>Online</t>
        </is>
      </c>
      <c r="D32" s="23" t="inlineStr">
        <is>
          <t>N/A</t>
        </is>
      </c>
      <c r="E32" s="23" t="inlineStr">
        <is>
          <t>8a Lukonge Cl, Kampala, Uganda</t>
        </is>
      </c>
    </row>
    <row r="33">
      <c r="A33" s="23" t="inlineStr">
        <is>
          <t>UBB242D</t>
        </is>
      </c>
      <c r="B33" s="23" t="inlineStr">
        <is>
          <t>N/A</t>
        </is>
      </c>
      <c r="C33" s="23" t="inlineStr">
        <is>
          <t>Online</t>
        </is>
      </c>
      <c r="D33" s="23" t="inlineStr">
        <is>
          <t>N/A</t>
        </is>
      </c>
      <c r="E33" s="23" t="inlineStr">
        <is>
          <t>GTL Butto YardAchon Cl, Uganda</t>
        </is>
      </c>
    </row>
    <row r="34">
      <c r="A34" s="23" t="inlineStr">
        <is>
          <t>UBE914F</t>
        </is>
      </c>
      <c r="B34" s="23" t="inlineStr">
        <is>
          <t>N/A</t>
        </is>
      </c>
      <c r="C34" s="23" t="inlineStr">
        <is>
          <t>Online</t>
        </is>
      </c>
      <c r="D34" s="23" t="inlineStr">
        <is>
          <t>N/A</t>
        </is>
      </c>
      <c r="E34" s="23" t="inlineStr">
        <is>
          <t>9PCG+269, Kampala, Uganda</t>
        </is>
      </c>
    </row>
    <row r="35">
      <c r="A35" s="23" t="inlineStr">
        <is>
          <t>UBF218N</t>
        </is>
      </c>
      <c r="B35" s="23" t="inlineStr">
        <is>
          <t>Online</t>
        </is>
      </c>
      <c r="C35" s="23" t="inlineStr">
        <is>
          <t>Online</t>
        </is>
      </c>
      <c r="D35" s="23" t="inlineStr">
        <is>
          <t>N/A</t>
        </is>
      </c>
      <c r="E35" s="23" t="inlineStr">
        <is>
          <t>Jinja - Kampala Road, Mbalala, Mukono, Central Region, Uganda</t>
        </is>
      </c>
    </row>
    <row r="36">
      <c r="A36" s="23" t="inlineStr">
        <is>
          <t>UBF238N</t>
        </is>
      </c>
      <c r="B36" s="23" t="inlineStr">
        <is>
          <t>N/A</t>
        </is>
      </c>
      <c r="C36" s="23" t="inlineStr">
        <is>
          <t>Online</t>
        </is>
      </c>
      <c r="D36" s="23" t="inlineStr">
        <is>
          <t>N/A</t>
        </is>
      </c>
      <c r="E36" s="23" t="inlineStr">
        <is>
          <t>Tilenga, BuliisaUnnamed Road, Kimoli, Uganda</t>
        </is>
      </c>
    </row>
    <row r="37">
      <c r="A37" s="23" t="inlineStr">
        <is>
          <t>UBF416N</t>
        </is>
      </c>
      <c r="B37" s="23" t="inlineStr">
        <is>
          <t>N/A</t>
        </is>
      </c>
      <c r="C37" s="23" t="inlineStr">
        <is>
          <t>Online</t>
        </is>
      </c>
      <c r="D37" s="23" t="inlineStr">
        <is>
          <t>N/A</t>
        </is>
      </c>
      <c r="E37" s="23" t="inlineStr">
        <is>
          <t>Tilenga, BuliisaUnnamed Road, Kimoli, Uganda</t>
        </is>
      </c>
    </row>
    <row r="38">
      <c r="A38" s="23" t="inlineStr">
        <is>
          <t>UBF421U</t>
        </is>
      </c>
      <c r="B38" s="23" t="inlineStr">
        <is>
          <t>N/A</t>
        </is>
      </c>
      <c r="C38" s="23" t="inlineStr">
        <is>
          <t>Online</t>
        </is>
      </c>
      <c r="D38" s="23" t="inlineStr">
        <is>
          <t>N/A</t>
        </is>
      </c>
      <c r="E38" s="23" t="inlineStr">
        <is>
          <t>Maji Ya ChumviMombasa Road, Kenya</t>
        </is>
      </c>
    </row>
    <row r="39">
      <c r="A39" s="23" t="inlineStr">
        <is>
          <t>UBF422U</t>
        </is>
      </c>
      <c r="B39" s="23" t="inlineStr">
        <is>
          <t>Online</t>
        </is>
      </c>
      <c r="C39" s="23" t="inlineStr">
        <is>
          <t>Online</t>
        </is>
      </c>
      <c r="D39" s="23" t="inlineStr">
        <is>
          <t>N/A</t>
        </is>
      </c>
      <c r="E39" s="23" t="inlineStr">
        <is>
          <t>Magongo Road, Mwalupanga, Kipevu, Changamwe, Mombasa</t>
        </is>
      </c>
    </row>
    <row r="40">
      <c r="A40" s="23" t="inlineStr">
        <is>
          <t>UBF423U</t>
        </is>
      </c>
      <c r="B40" s="23" t="inlineStr">
        <is>
          <t>Online</t>
        </is>
      </c>
      <c r="C40" s="23" t="inlineStr">
        <is>
          <t>Online</t>
        </is>
      </c>
      <c r="D40" s="23" t="inlineStr">
        <is>
          <t>N/A</t>
        </is>
      </c>
      <c r="E40" s="23" t="inlineStr">
        <is>
          <t>Magongo Road, Mwalupanga, Kipevu, Changamwe, Mombasa</t>
        </is>
      </c>
    </row>
    <row r="41">
      <c r="A41" s="23" t="inlineStr">
        <is>
          <t>UBF425U</t>
        </is>
      </c>
      <c r="B41" s="23" t="inlineStr">
        <is>
          <t>Online</t>
        </is>
      </c>
      <c r="C41" s="23" t="inlineStr">
        <is>
          <t>Online</t>
        </is>
      </c>
      <c r="D41" s="23" t="inlineStr">
        <is>
          <t>N/A</t>
        </is>
      </c>
      <c r="E41" s="23" t="inlineStr">
        <is>
          <t>Mwalupanga, Kipevu, Changamwe, Mombasa</t>
        </is>
      </c>
    </row>
    <row r="42">
      <c r="A42" s="23" t="inlineStr">
        <is>
          <t>UBF427U</t>
        </is>
      </c>
      <c r="B42" s="23" t="inlineStr">
        <is>
          <t>Online</t>
        </is>
      </c>
      <c r="C42" s="23" t="inlineStr">
        <is>
          <t>Online</t>
        </is>
      </c>
      <c r="D42" s="23" t="inlineStr">
        <is>
          <t>N/A</t>
        </is>
      </c>
      <c r="E42" s="23" t="inlineStr">
        <is>
          <t>Malaba UG North Parking, Kenya Road, Malaba 'b' East, Tororo, Eastern Region, Uganda</t>
        </is>
      </c>
    </row>
    <row r="43">
      <c r="A43" s="23" t="inlineStr">
        <is>
          <t>UBF480U</t>
        </is>
      </c>
      <c r="B43" s="23" t="inlineStr">
        <is>
          <t>Online</t>
        </is>
      </c>
      <c r="C43" s="23" t="inlineStr">
        <is>
          <t>Online</t>
        </is>
      </c>
      <c r="D43" s="23" t="inlineStr">
        <is>
          <t>N/A</t>
        </is>
      </c>
      <c r="E43" s="23" t="inlineStr">
        <is>
          <t>Mombasa Road, Mariakani, Kaloleni, Kilifi</t>
        </is>
      </c>
    </row>
    <row r="44">
      <c r="A44" s="23" t="inlineStr">
        <is>
          <t>UBF492U</t>
        </is>
      </c>
      <c r="B44" s="23" t="inlineStr">
        <is>
          <t>Online</t>
        </is>
      </c>
      <c r="C44" s="23" t="inlineStr">
        <is>
          <t>Online</t>
        </is>
      </c>
      <c r="D44" s="23" t="inlineStr">
        <is>
          <t>N/A</t>
        </is>
      </c>
      <c r="E44" s="23" t="inlineStr">
        <is>
          <t>Hoima - Kampala Road, Munsambya, Kyankwanzi, Central Region, Uganda</t>
        </is>
      </c>
    </row>
    <row r="45">
      <c r="A45" s="23" t="inlineStr">
        <is>
          <t>UBF493U</t>
        </is>
      </c>
      <c r="B45" s="23" t="inlineStr">
        <is>
          <t>Online</t>
        </is>
      </c>
      <c r="C45" s="23" t="inlineStr">
        <is>
          <t>Online</t>
        </is>
      </c>
      <c r="D45" s="23" t="inlineStr">
        <is>
          <t>N/A</t>
        </is>
      </c>
      <c r="E45" s="23" t="inlineStr">
        <is>
          <t>Malaba UG West Parking, Kenya Road, Malaba 'b' East, Tororo, Eastern Region, Uganda</t>
        </is>
      </c>
    </row>
    <row r="46">
      <c r="A46" s="23" t="inlineStr">
        <is>
          <t>UBF494U</t>
        </is>
      </c>
      <c r="B46" s="23" t="inlineStr">
        <is>
          <t>Online</t>
        </is>
      </c>
      <c r="C46" s="23" t="inlineStr">
        <is>
          <t>Online</t>
        </is>
      </c>
      <c r="D46" s="23" t="inlineStr">
        <is>
          <t>N/A</t>
        </is>
      </c>
      <c r="E46" s="23" t="inlineStr">
        <is>
          <t>Mombasa Road, Kambu, Kibwezi East, Makueni</t>
        </is>
      </c>
    </row>
    <row r="47">
      <c r="A47" s="23" t="inlineStr">
        <is>
          <t>UBF495U</t>
        </is>
      </c>
      <c r="B47" s="23" t="inlineStr">
        <is>
          <t>Online</t>
        </is>
      </c>
      <c r="C47" s="23" t="inlineStr">
        <is>
          <t>Online</t>
        </is>
      </c>
      <c r="D47" s="23" t="inlineStr">
        <is>
          <t>N/A</t>
        </is>
      </c>
      <c r="E47" s="23" t="inlineStr">
        <is>
          <t>Kipevu Road, Mombasa Port, Kipevu, Changamwe, Mombasa</t>
        </is>
      </c>
    </row>
    <row r="48">
      <c r="A48" s="23" t="inlineStr">
        <is>
          <t>UBF500U</t>
        </is>
      </c>
      <c r="B48" s="23" t="inlineStr">
        <is>
          <t>Online</t>
        </is>
      </c>
      <c r="C48" s="23" t="inlineStr">
        <is>
          <t>Online</t>
        </is>
      </c>
      <c r="D48" s="23" t="inlineStr">
        <is>
          <t>N/A</t>
        </is>
      </c>
      <c r="E48" s="23" t="inlineStr">
        <is>
          <t>Hamisi estate, Changamwe, Mombasa</t>
        </is>
      </c>
    </row>
    <row r="49">
      <c r="A49" s="23" t="inlineStr">
        <is>
          <t>UBF502U</t>
        </is>
      </c>
      <c r="B49" s="23" t="inlineStr">
        <is>
          <t>Online</t>
        </is>
      </c>
      <c r="C49" s="23" t="inlineStr">
        <is>
          <t>Online</t>
        </is>
      </c>
      <c r="D49" s="23" t="inlineStr">
        <is>
          <t>N/A</t>
        </is>
      </c>
      <c r="E49" s="23" t="inlineStr">
        <is>
          <t>Mombasa Road, Mariakani, Kaloleni, Kilifi</t>
        </is>
      </c>
    </row>
    <row r="50">
      <c r="A50" s="23" t="inlineStr">
        <is>
          <t>UBF504U</t>
        </is>
      </c>
      <c r="B50" s="23" t="inlineStr">
        <is>
          <t>N/A</t>
        </is>
      </c>
      <c r="C50" s="23" t="inlineStr">
        <is>
          <t>Online</t>
        </is>
      </c>
      <c r="D50" s="23" t="inlineStr">
        <is>
          <t>N/A</t>
        </is>
      </c>
      <c r="E50" s="23" t="inlineStr">
        <is>
          <t>Mombasa, KenyaXJ64+JRC, Mombasa, Kenya</t>
        </is>
      </c>
    </row>
    <row r="51">
      <c r="A51" s="23" t="inlineStr">
        <is>
          <t>UBF505U</t>
        </is>
      </c>
      <c r="B51" s="23" t="inlineStr">
        <is>
          <t>Online</t>
        </is>
      </c>
      <c r="C51" s="23" t="inlineStr">
        <is>
          <t>Online</t>
        </is>
      </c>
      <c r="D51" s="23" t="inlineStr">
        <is>
          <t>N/A</t>
        </is>
      </c>
      <c r="E51" s="23" t="inlineStr">
        <is>
          <t>Nakuru - Eldoret Road, Tendeno/Sorget, Kipkelion East, Kericho</t>
        </is>
      </c>
    </row>
    <row r="52">
      <c r="A52" s="23" t="inlineStr">
        <is>
          <t>UBF522U</t>
        </is>
      </c>
      <c r="B52" s="23" t="inlineStr">
        <is>
          <t>Online</t>
        </is>
      </c>
      <c r="C52" s="23" t="inlineStr">
        <is>
          <t>Online</t>
        </is>
      </c>
      <c r="D52" s="23" t="inlineStr">
        <is>
          <t>N/A</t>
        </is>
      </c>
      <c r="E52" s="23" t="inlineStr">
        <is>
          <t>Mombasa Road, Mariakani, Kaloleni, Kilifi</t>
        </is>
      </c>
    </row>
    <row r="53">
      <c r="A53" s="23" t="inlineStr">
        <is>
          <t>UBF523U</t>
        </is>
      </c>
      <c r="B53" s="23" t="inlineStr">
        <is>
          <t>Online</t>
        </is>
      </c>
      <c r="C53" s="23" t="inlineStr">
        <is>
          <t>Online</t>
        </is>
      </c>
      <c r="D53" s="23" t="inlineStr">
        <is>
          <t>N/A</t>
        </is>
      </c>
      <c r="E53" s="23" t="inlineStr">
        <is>
          <t>Kenya Road, Malaba 'b' East, Tororo, Eastern Region, Uganda</t>
        </is>
      </c>
    </row>
    <row r="54">
      <c r="A54" s="23" t="inlineStr">
        <is>
          <t>UBF524U</t>
        </is>
      </c>
      <c r="B54" s="23" t="inlineStr">
        <is>
          <t>Online</t>
        </is>
      </c>
      <c r="C54" s="23" t="inlineStr">
        <is>
          <t>Online</t>
        </is>
      </c>
      <c r="D54" s="23" t="inlineStr">
        <is>
          <t>N/A</t>
        </is>
      </c>
      <c r="E54" s="23" t="inlineStr">
        <is>
          <t>A8;R2, Zambezi, Sigona, Kikuyu, Kiambu</t>
        </is>
      </c>
    </row>
    <row r="55">
      <c r="A55" s="23" t="inlineStr">
        <is>
          <t>UBF525U</t>
        </is>
      </c>
      <c r="B55" s="23" t="inlineStr">
        <is>
          <t>Online</t>
        </is>
      </c>
      <c r="C55" s="23" t="inlineStr">
        <is>
          <t>Online</t>
        </is>
      </c>
      <c r="D55" s="23" t="inlineStr">
        <is>
          <t>N/A</t>
        </is>
      </c>
      <c r="E55" s="23" t="inlineStr">
        <is>
          <t>Mombasa Road, Mariakani, Kaloleni, Kilifi</t>
        </is>
      </c>
    </row>
    <row r="56">
      <c r="A56" s="23" t="inlineStr">
        <is>
          <t>UBF661U</t>
        </is>
      </c>
      <c r="B56" s="23" t="inlineStr">
        <is>
          <t>Online</t>
        </is>
      </c>
      <c r="C56" s="23" t="inlineStr">
        <is>
          <t>Online</t>
        </is>
      </c>
      <c r="D56" s="23" t="inlineStr">
        <is>
          <t>N/A</t>
        </is>
      </c>
      <c r="E56" s="23" t="inlineStr">
        <is>
          <t>Mombasa Road, Makindu, Kibwezi West, Makueni</t>
        </is>
      </c>
    </row>
    <row r="57">
      <c r="A57" s="23" t="inlineStr">
        <is>
          <t>UBF683U</t>
        </is>
      </c>
      <c r="B57" s="23" t="inlineStr">
        <is>
          <t>Online</t>
        </is>
      </c>
      <c r="C57" s="23" t="inlineStr">
        <is>
          <t>Online</t>
        </is>
      </c>
      <c r="D57" s="23" t="inlineStr">
        <is>
          <t>N/A</t>
        </is>
      </c>
      <c r="E57" s="23" t="inlineStr">
        <is>
          <t>Malaba UG North Parking, Kenya Road, Malaba 'b' East, Tororo, Eastern Region, Uganda</t>
        </is>
      </c>
    </row>
    <row r="58">
      <c r="A58" s="23" t="inlineStr">
        <is>
          <t>UBF694U</t>
        </is>
      </c>
      <c r="B58" s="23" t="inlineStr">
        <is>
          <t>Online</t>
        </is>
      </c>
      <c r="C58" s="23" t="inlineStr">
        <is>
          <t>Online</t>
        </is>
      </c>
      <c r="D58" s="23" t="inlineStr">
        <is>
          <t>N/A</t>
        </is>
      </c>
      <c r="E58" s="23" t="inlineStr">
        <is>
          <t>Mombasa Road, Mariakani, Kaloleni, Kilifi</t>
        </is>
      </c>
    </row>
    <row r="59">
      <c r="A59" s="23" t="inlineStr">
        <is>
          <t>UBF765U</t>
        </is>
      </c>
      <c r="B59" s="23" t="inlineStr">
        <is>
          <t>Online</t>
        </is>
      </c>
      <c r="C59" s="23" t="inlineStr">
        <is>
          <t>Online</t>
        </is>
      </c>
      <c r="D59" s="23" t="inlineStr">
        <is>
          <t>N/A</t>
        </is>
      </c>
      <c r="E59" s="23" t="inlineStr">
        <is>
          <t>Mombasa Road, Kambu, Kibwezi East, Makueni</t>
        </is>
      </c>
    </row>
    <row r="60">
      <c r="A60" s="23" t="inlineStr">
        <is>
          <t>UBF914F</t>
        </is>
      </c>
      <c r="B60" s="23" t="inlineStr">
        <is>
          <t>Online</t>
        </is>
      </c>
      <c r="C60" s="23" t="inlineStr">
        <is>
          <t>N/A</t>
        </is>
      </c>
      <c r="D60" s="23" t="inlineStr">
        <is>
          <t>N/A</t>
        </is>
      </c>
      <c r="E60" s="23" t="inlineStr">
        <is>
          <t>Jinja - Kampala Road, Seeta, Mukono, Central Region, Uganda</t>
        </is>
      </c>
    </row>
    <row r="61">
      <c r="A61" s="23" t="inlineStr">
        <is>
          <t>UBG864M</t>
        </is>
      </c>
      <c r="B61" s="23" t="inlineStr">
        <is>
          <t>N/A</t>
        </is>
      </c>
      <c r="C61" s="23" t="inlineStr">
        <is>
          <t>Online</t>
        </is>
      </c>
      <c r="D61" s="23" t="inlineStr">
        <is>
          <t>N/A</t>
        </is>
      </c>
      <c r="E61" s="23" t="inlineStr">
        <is>
          <t>9MJC+3V8, Kampala, Uganda</t>
        </is>
      </c>
    </row>
    <row r="62">
      <c r="A62" s="23" t="inlineStr">
        <is>
          <t>UBH119M</t>
        </is>
      </c>
      <c r="B62" s="23" t="inlineStr">
        <is>
          <t>N/A</t>
        </is>
      </c>
      <c r="C62" s="23" t="inlineStr">
        <is>
          <t>Online</t>
        </is>
      </c>
      <c r="D62" s="23" t="inlineStr">
        <is>
          <t>N/A</t>
        </is>
      </c>
      <c r="E62" s="23" t="inlineStr">
        <is>
          <t>NH20, Kayunga, Uganda</t>
        </is>
      </c>
    </row>
    <row r="63">
      <c r="A63" s="23" t="inlineStr">
        <is>
          <t>UBH989L</t>
        </is>
      </c>
      <c r="B63" s="23" t="inlineStr">
        <is>
          <t>N/A</t>
        </is>
      </c>
      <c r="C63" s="23" t="inlineStr">
        <is>
          <t>Online</t>
        </is>
      </c>
      <c r="D63" s="23" t="inlineStr">
        <is>
          <t>N/A</t>
        </is>
      </c>
      <c r="E63" s="23" t="inlineStr">
        <is>
          <t>Port Reitz, MombasaXJ5J+FP5, Mombasa, Kenya</t>
        </is>
      </c>
    </row>
    <row r="64">
      <c r="A64" s="23" t="inlineStr">
        <is>
          <t>UBL980X</t>
        </is>
      </c>
      <c r="B64" s="23" t="inlineStr">
        <is>
          <t>N/A</t>
        </is>
      </c>
      <c r="C64" s="23" t="inlineStr">
        <is>
          <t>Online</t>
        </is>
      </c>
      <c r="D64" s="23" t="inlineStr">
        <is>
          <t>N/A</t>
        </is>
      </c>
      <c r="E64" s="23" t="inlineStr">
        <is>
          <t>GTL Butto YardAchon Cl, Uganda</t>
        </is>
      </c>
    </row>
    <row r="65">
      <c r="A65" s="23" t="inlineStr">
        <is>
          <t>UBN090J</t>
        </is>
      </c>
      <c r="B65" s="23" t="inlineStr">
        <is>
          <t>N/A</t>
        </is>
      </c>
      <c r="C65" s="23" t="inlineStr">
        <is>
          <t>Online</t>
        </is>
      </c>
      <c r="D65" s="23" t="inlineStr">
        <is>
          <t>N/A</t>
        </is>
      </c>
      <c r="E65" s="23" t="inlineStr">
        <is>
          <t>Tilenga, BuliisaUnnamed Road, Kimoli, Uganda</t>
        </is>
      </c>
    </row>
    <row r="66">
      <c r="A66" s="23" t="inlineStr">
        <is>
          <t>UBN545H</t>
        </is>
      </c>
      <c r="B66" s="23" t="inlineStr">
        <is>
          <t>N/A</t>
        </is>
      </c>
      <c r="C66" s="23" t="inlineStr">
        <is>
          <t>Online</t>
        </is>
      </c>
      <c r="D66" s="23" t="inlineStr">
        <is>
          <t>N/A</t>
        </is>
      </c>
      <c r="E66" s="23" t="inlineStr">
        <is>
          <t>Tilenga, BuliisaUnnamed Road, Uganda</t>
        </is>
      </c>
    </row>
    <row r="67">
      <c r="A67" s="23" t="inlineStr">
        <is>
          <t>UBN581C</t>
        </is>
      </c>
      <c r="B67" s="23" t="inlineStr">
        <is>
          <t>Online</t>
        </is>
      </c>
      <c r="C67" s="23" t="inlineStr">
        <is>
          <t>Online</t>
        </is>
      </c>
      <c r="D67" s="23" t="inlineStr">
        <is>
          <t>Online</t>
        </is>
      </c>
      <c r="E67" s="23" t="inlineStr">
        <is>
          <t>KK Travellers Bus Booking Office Karuma, Gulu - Kampala Road, Kiryandongo, Kigumba, Western Region, Uganda</t>
        </is>
      </c>
    </row>
    <row r="68">
      <c r="A68" s="23" t="inlineStr">
        <is>
          <t>UBN582C</t>
        </is>
      </c>
      <c r="B68" s="23" t="inlineStr">
        <is>
          <t>N/A</t>
        </is>
      </c>
      <c r="C68" s="23" t="inlineStr">
        <is>
          <t>Online</t>
        </is>
      </c>
      <c r="D68" s="23" t="inlineStr">
        <is>
          <t>Online</t>
        </is>
      </c>
      <c r="E68" s="23" t="inlineStr">
        <is>
          <t>MALABA, UgandaJ7Q5+Q5J, Malaba, Uganda</t>
        </is>
      </c>
    </row>
    <row r="69">
      <c r="A69" s="23" t="inlineStr">
        <is>
          <t>UBN584C</t>
        </is>
      </c>
      <c r="B69" s="23" t="inlineStr">
        <is>
          <t>N/A</t>
        </is>
      </c>
      <c r="C69" s="23" t="inlineStr">
        <is>
          <t>Online</t>
        </is>
      </c>
      <c r="D69" s="23" t="inlineStr">
        <is>
          <t>N/A</t>
        </is>
      </c>
      <c r="E69" s="23" t="inlineStr">
        <is>
          <t>Kamdini - Lira, Uganda</t>
        </is>
      </c>
    </row>
    <row r="70">
      <c r="A70" s="23" t="inlineStr">
        <is>
          <t>UBN587C</t>
        </is>
      </c>
      <c r="B70" s="23" t="inlineStr">
        <is>
          <t>Online</t>
        </is>
      </c>
      <c r="C70" s="23" t="inlineStr">
        <is>
          <t>Online</t>
        </is>
      </c>
      <c r="D70" s="23" t="inlineStr">
        <is>
          <t>Online</t>
        </is>
      </c>
      <c r="E70" s="23" t="inlineStr">
        <is>
          <t>Mombasa - Nairobi Road, Syokimau, Langata, Syokimau-Mulolongo, Mavoko, Machakos</t>
        </is>
      </c>
    </row>
    <row r="71">
      <c r="A71" s="23" t="inlineStr">
        <is>
          <t>UBN588C</t>
        </is>
      </c>
      <c r="B71" s="23" t="inlineStr">
        <is>
          <t>Online</t>
        </is>
      </c>
      <c r="C71" s="23" t="inlineStr">
        <is>
          <t>Online</t>
        </is>
      </c>
      <c r="D71" s="23" t="inlineStr">
        <is>
          <t>N/A</t>
        </is>
      </c>
      <c r="E71" s="23" t="inlineStr">
        <is>
          <t>Kooki Street, Cinema, Masaka City, Central Region, Uganda</t>
        </is>
      </c>
    </row>
    <row r="72">
      <c r="A72" s="23" t="inlineStr">
        <is>
          <t>UBN592C</t>
        </is>
      </c>
      <c r="B72" s="23" t="inlineStr">
        <is>
          <t>N/A</t>
        </is>
      </c>
      <c r="C72" s="23" t="inlineStr">
        <is>
          <t>Online</t>
        </is>
      </c>
      <c r="D72" s="23" t="inlineStr">
        <is>
          <t>Online</t>
        </is>
      </c>
      <c r="E72" s="23" t="inlineStr">
        <is>
          <t>Apache YardXJJM+43F, Mombasa, Kenya</t>
        </is>
      </c>
    </row>
    <row r="73">
      <c r="A73" s="23" t="inlineStr">
        <is>
          <t>UBN594C</t>
        </is>
      </c>
      <c r="B73" s="23" t="inlineStr">
        <is>
          <t>Online</t>
        </is>
      </c>
      <c r="C73" s="23" t="inlineStr">
        <is>
          <t>Online</t>
        </is>
      </c>
      <c r="D73" s="23" t="inlineStr">
        <is>
          <t>Online</t>
        </is>
      </c>
      <c r="E73" s="23" t="inlineStr">
        <is>
          <t>Old Nairobi Road, Mbaruk, Greensteads, Gilgil, Nakuru</t>
        </is>
      </c>
    </row>
    <row r="74">
      <c r="A74" s="23" t="inlineStr">
        <is>
          <t>UBN595C</t>
        </is>
      </c>
      <c r="B74" s="23" t="inlineStr">
        <is>
          <t>Online</t>
        </is>
      </c>
      <c r="C74" s="23" t="inlineStr">
        <is>
          <t>Online</t>
        </is>
      </c>
      <c r="D74" s="23" t="inlineStr">
        <is>
          <t>N/A</t>
        </is>
      </c>
      <c r="E74" s="23" t="inlineStr">
        <is>
          <t>Eldoret Road, Atapur, Malaba Central, Teso North, Busia</t>
        </is>
      </c>
    </row>
    <row r="75">
      <c r="A75" s="23" t="inlineStr">
        <is>
          <t>UBN596C</t>
        </is>
      </c>
      <c r="B75" s="23" t="inlineStr">
        <is>
          <t>Online</t>
        </is>
      </c>
      <c r="C75" s="23" t="inlineStr">
        <is>
          <t>Online</t>
        </is>
      </c>
      <c r="D75" s="23" t="inlineStr">
        <is>
          <t>Online</t>
        </is>
      </c>
      <c r="E75" s="23" t="inlineStr">
        <is>
          <t>Jinja - Kampala Road, Mawotto, Mukono, Central Region, Uganda</t>
        </is>
      </c>
    </row>
    <row r="76">
      <c r="A76" s="23" t="inlineStr">
        <is>
          <t>UBN597C</t>
        </is>
      </c>
      <c r="B76" s="23" t="inlineStr">
        <is>
          <t>N/A</t>
        </is>
      </c>
      <c r="C76" s="23" t="inlineStr">
        <is>
          <t>Online</t>
        </is>
      </c>
      <c r="D76" s="23" t="inlineStr">
        <is>
          <t>Online</t>
        </is>
      </c>
      <c r="E76" s="23" t="inlineStr">
        <is>
          <t>Timboroa, Kenya3G8R+R7C, Mombasa-Malaba Rd, Kenya</t>
        </is>
      </c>
    </row>
    <row r="77">
      <c r="A77" s="23" t="inlineStr">
        <is>
          <t>UBN598C</t>
        </is>
      </c>
      <c r="B77" s="23" t="inlineStr">
        <is>
          <t>Online</t>
        </is>
      </c>
      <c r="C77" s="23" t="inlineStr">
        <is>
          <t>Online</t>
        </is>
      </c>
      <c r="D77" s="23" t="inlineStr">
        <is>
          <t>N/A</t>
        </is>
      </c>
      <c r="E77" s="23" t="inlineStr">
        <is>
          <t>Kamdini-Lira Road, Oyam, Northern Region, Uganda</t>
        </is>
      </c>
    </row>
    <row r="78">
      <c r="A78" s="23" t="inlineStr">
        <is>
          <t>UBN599C</t>
        </is>
      </c>
      <c r="B78" s="23" t="inlineStr">
        <is>
          <t>Online</t>
        </is>
      </c>
      <c r="C78" s="23" t="inlineStr">
        <is>
          <t>Online</t>
        </is>
      </c>
      <c r="D78" s="23" t="inlineStr">
        <is>
          <t>Online</t>
        </is>
      </c>
      <c r="E78" s="23" t="inlineStr">
        <is>
          <t>Kipevu Road, Mombasa Port, Kipevu, Changamwe, Mombasa</t>
        </is>
      </c>
    </row>
    <row r="79">
      <c r="A79" s="23" t="inlineStr">
        <is>
          <t>UBN600C</t>
        </is>
      </c>
      <c r="B79" s="23" t="inlineStr">
        <is>
          <t>Online</t>
        </is>
      </c>
      <c r="C79" s="23" t="inlineStr">
        <is>
          <t>Online</t>
        </is>
      </c>
      <c r="D79" s="23" t="inlineStr">
        <is>
          <t>N/A</t>
        </is>
      </c>
      <c r="E79" s="23" t="inlineStr">
        <is>
          <t>Malaba UG West Parking, Kenya Road, Malaba 'b' East, Tororo, Eastern Region, Uganda</t>
        </is>
      </c>
    </row>
    <row r="80">
      <c r="A80" s="23" t="inlineStr">
        <is>
          <t>UBQ373Q</t>
        </is>
      </c>
      <c r="B80" s="23" t="inlineStr">
        <is>
          <t>N/A</t>
        </is>
      </c>
      <c r="C80" s="23" t="inlineStr">
        <is>
          <t>Online</t>
        </is>
      </c>
      <c r="D80" s="23" t="inlineStr">
        <is>
          <t>Online</t>
        </is>
      </c>
      <c r="E80" s="23" t="inlineStr">
        <is>
          <t>MALABA, UgandaJ7Q5+Q5J, Malaba, Uganda</t>
        </is>
      </c>
    </row>
    <row r="81">
      <c r="A81" s="23" t="inlineStr">
        <is>
          <t>UBQ374Q</t>
        </is>
      </c>
      <c r="B81" s="23" t="inlineStr">
        <is>
          <t>Online</t>
        </is>
      </c>
      <c r="C81" s="23" t="inlineStr">
        <is>
          <t>Online</t>
        </is>
      </c>
      <c r="D81" s="23" t="inlineStr">
        <is>
          <t>N/A</t>
        </is>
      </c>
      <c r="E81" s="23" t="inlineStr">
        <is>
          <t>Mombasa Road, Kambu, Kibwezi East, Makueni</t>
        </is>
      </c>
    </row>
    <row r="82">
      <c r="A82" s="23" t="inlineStr">
        <is>
          <t>UBQ376Q</t>
        </is>
      </c>
      <c r="B82" s="23" t="inlineStr">
        <is>
          <t>N/A</t>
        </is>
      </c>
      <c r="C82" s="23" t="inlineStr">
        <is>
          <t>Online</t>
        </is>
      </c>
      <c r="D82" s="23" t="inlineStr">
        <is>
          <t>Online</t>
        </is>
      </c>
      <c r="E82" s="23" t="inlineStr">
        <is>
          <t>MALABA, KenyaKenya Revenue Authority, A 109, Malaba, Uganda</t>
        </is>
      </c>
    </row>
    <row r="83">
      <c r="A83" s="23" t="inlineStr">
        <is>
          <t>UBQ428U</t>
        </is>
      </c>
      <c r="B83" s="23" t="inlineStr">
        <is>
          <t>Online</t>
        </is>
      </c>
      <c r="C83" s="23" t="inlineStr">
        <is>
          <t>Online</t>
        </is>
      </c>
      <c r="D83" s="23" t="inlineStr">
        <is>
          <t>N/A</t>
        </is>
      </c>
      <c r="E83" s="23" t="inlineStr">
        <is>
          <t>Nalukolongo (zone), Rubaga, Kampala Capital City, Kampala, Central Region, Uganda</t>
        </is>
      </c>
    </row>
    <row r="84">
      <c r="A84" s="23" t="inlineStr">
        <is>
          <t>UBQ429U</t>
        </is>
      </c>
      <c r="B84" s="23" t="inlineStr">
        <is>
          <t>Online</t>
        </is>
      </c>
      <c r="C84" s="23" t="inlineStr">
        <is>
          <t>Online</t>
        </is>
      </c>
      <c r="D84" s="23" t="inlineStr">
        <is>
          <t>Online</t>
        </is>
      </c>
      <c r="E84" s="23" t="inlineStr">
        <is>
          <t>Butto, Wakiso, Central Region, Uganda</t>
        </is>
      </c>
    </row>
    <row r="85">
      <c r="A85" s="23" t="inlineStr">
        <is>
          <t>UBQ430U</t>
        </is>
      </c>
      <c r="B85" s="23" t="inlineStr">
        <is>
          <t>N/A</t>
        </is>
      </c>
      <c r="C85" s="23" t="inlineStr">
        <is>
          <t>Online</t>
        </is>
      </c>
      <c r="D85" s="23" t="inlineStr">
        <is>
          <t>N/A</t>
        </is>
      </c>
      <c r="E85" s="23" t="inlineStr">
        <is>
          <t>MALABA, KenyaJ7P9+FF9, C43, Malaba, Kenya</t>
        </is>
      </c>
    </row>
    <row r="86">
      <c r="A86" s="23" t="inlineStr">
        <is>
          <t>UBQ431U</t>
        </is>
      </c>
      <c r="B86" s="23" t="inlineStr">
        <is>
          <t>Online</t>
        </is>
      </c>
      <c r="C86" s="23" t="inlineStr">
        <is>
          <t>Online</t>
        </is>
      </c>
      <c r="D86" s="23" t="inlineStr">
        <is>
          <t>Online</t>
        </is>
      </c>
      <c r="E86" s="23" t="inlineStr">
        <is>
          <t>Kenya Road, Malaba 'b' East, Tororo, Eastern Region, Uganda</t>
        </is>
      </c>
    </row>
    <row r="87">
      <c r="A87" s="23" t="inlineStr">
        <is>
          <t>UBQ432U</t>
        </is>
      </c>
      <c r="B87" s="23" t="inlineStr">
        <is>
          <t>Online</t>
        </is>
      </c>
      <c r="C87" s="23" t="inlineStr">
        <is>
          <t>Online</t>
        </is>
      </c>
      <c r="D87" s="23" t="inlineStr">
        <is>
          <t>N/A</t>
        </is>
      </c>
      <c r="E87" s="23" t="inlineStr">
        <is>
          <t>Lira - Mbale Road, Apapai, Kalaki, Eastern Region, Uganda</t>
        </is>
      </c>
    </row>
    <row r="88">
      <c r="A88" s="23" t="inlineStr">
        <is>
          <t>UBQ537X</t>
        </is>
      </c>
      <c r="B88" s="23" t="inlineStr">
        <is>
          <t>Online</t>
        </is>
      </c>
      <c r="C88" s="23" t="inlineStr">
        <is>
          <t>Online</t>
        </is>
      </c>
      <c r="D88" s="23" t="inlineStr">
        <is>
          <t>Online</t>
        </is>
      </c>
      <c r="E88" s="23" t="inlineStr">
        <is>
          <t>Namanve, Kireku Railway, Wakiso, Central Region, Uganda</t>
        </is>
      </c>
    </row>
    <row r="89">
      <c r="A89" s="23" t="inlineStr">
        <is>
          <t>UBQ538X</t>
        </is>
      </c>
      <c r="B89" s="23" t="inlineStr">
        <is>
          <t>N/A</t>
        </is>
      </c>
      <c r="C89" s="23" t="inlineStr">
        <is>
          <t>Online</t>
        </is>
      </c>
      <c r="D89" s="23" t="inlineStr">
        <is>
          <t>N/A</t>
        </is>
      </c>
      <c r="E89" s="23" t="inlineStr">
        <is>
          <t>Soroti- Dokolo Road, Uganda</t>
        </is>
      </c>
    </row>
    <row r="90">
      <c r="A90" s="23" t="inlineStr">
        <is>
          <t>UBQ540X</t>
        </is>
      </c>
      <c r="B90" s="23" t="inlineStr">
        <is>
          <t>Online</t>
        </is>
      </c>
      <c r="C90" s="23" t="inlineStr">
        <is>
          <t>Online</t>
        </is>
      </c>
      <c r="D90" s="23" t="inlineStr">
        <is>
          <t>N/A</t>
        </is>
      </c>
      <c r="E90" s="23" t="inlineStr">
        <is>
          <t>Bonje, Kasemeni, Kinango, Kwale</t>
        </is>
      </c>
    </row>
    <row r="91">
      <c r="A91" s="23" t="inlineStr">
        <is>
          <t>UBQ544X</t>
        </is>
      </c>
      <c r="B91" s="23" t="inlineStr">
        <is>
          <t>N/A</t>
        </is>
      </c>
      <c r="C91" s="23" t="inlineStr">
        <is>
          <t>Online</t>
        </is>
      </c>
      <c r="D91" s="23" t="inlineStr">
        <is>
          <t>N/A</t>
        </is>
      </c>
      <c r="E91" s="23" t="inlineStr">
        <is>
          <t>NOTCO YARD, MombasaXJ9J+PV5, Mombasa Road, Mombasa, Kenya</t>
        </is>
      </c>
    </row>
    <row r="92">
      <c r="A92" s="23" t="inlineStr">
        <is>
          <t>UBQ546X</t>
        </is>
      </c>
      <c r="B92" s="23" t="inlineStr">
        <is>
          <t>N/A</t>
        </is>
      </c>
      <c r="C92" s="23" t="inlineStr">
        <is>
          <t>Online</t>
        </is>
      </c>
      <c r="D92" s="23" t="inlineStr">
        <is>
          <t>N/A</t>
        </is>
      </c>
      <c r="E92" s="23" t="inlineStr">
        <is>
          <t>Kamdini - Lira, Uganda</t>
        </is>
      </c>
    </row>
    <row r="93">
      <c r="A93" s="23" t="inlineStr">
        <is>
          <t>UBQ547X</t>
        </is>
      </c>
      <c r="B93" s="23" t="inlineStr">
        <is>
          <t>N/A</t>
        </is>
      </c>
      <c r="C93" s="23" t="inlineStr">
        <is>
          <t>Online</t>
        </is>
      </c>
      <c r="D93" s="23" t="inlineStr">
        <is>
          <t>N/A</t>
        </is>
      </c>
      <c r="E93" s="23" t="inlineStr">
        <is>
          <t>Soroti- Dokolo Road, Uganda</t>
        </is>
      </c>
    </row>
    <row r="94">
      <c r="A94" s="23" t="inlineStr">
        <is>
          <t>UBQ757P</t>
        </is>
      </c>
      <c r="B94" s="23" t="inlineStr">
        <is>
          <t>Online</t>
        </is>
      </c>
      <c r="C94" s="23" t="inlineStr">
        <is>
          <t>Online</t>
        </is>
      </c>
      <c r="D94" s="23" t="inlineStr">
        <is>
          <t>N/A</t>
        </is>
      </c>
      <c r="E94" s="23" t="inlineStr">
        <is>
          <t>Hamisi estate, Changamwe, Mombasa</t>
        </is>
      </c>
    </row>
    <row r="95">
      <c r="A95" s="23" t="inlineStr">
        <is>
          <t>UBQ758P</t>
        </is>
      </c>
      <c r="B95" s="23" t="inlineStr">
        <is>
          <t>Online</t>
        </is>
      </c>
      <c r="C95" s="23" t="inlineStr">
        <is>
          <t>Online</t>
        </is>
      </c>
      <c r="D95" s="23" t="inlineStr">
        <is>
          <t>N/A</t>
        </is>
      </c>
      <c r="E95" s="23" t="inlineStr">
        <is>
          <t>Lira - Mbale Road, Cell F, Soroti City, Eastern Region, Uganda</t>
        </is>
      </c>
    </row>
    <row r="96">
      <c r="A96" s="23" t="inlineStr">
        <is>
          <t>UBQ759P</t>
        </is>
      </c>
      <c r="B96" s="23" t="inlineStr">
        <is>
          <t>N/A</t>
        </is>
      </c>
      <c r="C96" s="23" t="inlineStr">
        <is>
          <t>Online</t>
        </is>
      </c>
      <c r="D96" s="23" t="inlineStr">
        <is>
          <t>Online</t>
        </is>
      </c>
      <c r="E96" s="23" t="inlineStr">
        <is>
          <t>Port Reitz, MombasaXJ5J+FP5, Mombasa, Kenya</t>
        </is>
      </c>
    </row>
    <row r="97">
      <c r="A97" s="23" t="inlineStr">
        <is>
          <t>UBQ760P</t>
        </is>
      </c>
      <c r="B97" s="23" t="inlineStr">
        <is>
          <t>N/A</t>
        </is>
      </c>
      <c r="C97" s="23" t="inlineStr">
        <is>
          <t>Online</t>
        </is>
      </c>
      <c r="D97" s="23" t="inlineStr">
        <is>
          <t>N/A</t>
        </is>
      </c>
      <c r="E97" s="23" t="inlineStr">
        <is>
          <t>SEETA9P85+QR9, Kampala-Jinja Expy, Seeta, Uganda</t>
        </is>
      </c>
    </row>
    <row r="98">
      <c r="A98" s="23" t="inlineStr">
        <is>
          <t>UBQ761P</t>
        </is>
      </c>
      <c r="B98" s="23" t="inlineStr">
        <is>
          <t>N/A</t>
        </is>
      </c>
      <c r="C98" s="23" t="inlineStr">
        <is>
          <t>Online</t>
        </is>
      </c>
      <c r="D98" s="23" t="inlineStr">
        <is>
          <t>N/A</t>
        </is>
      </c>
      <c r="E98" s="23" t="inlineStr">
        <is>
          <t>MALABA, UgandaJ7Q5+Q5J, Malaba, Uganda</t>
        </is>
      </c>
    </row>
    <row r="99">
      <c r="A99" s="23" t="inlineStr">
        <is>
          <t>UBQ762P</t>
        </is>
      </c>
      <c r="B99" s="23" t="inlineStr">
        <is>
          <t>Online</t>
        </is>
      </c>
      <c r="C99" s="23" t="inlineStr">
        <is>
          <t>Online</t>
        </is>
      </c>
      <c r="D99" s="23" t="inlineStr">
        <is>
          <t>N/A</t>
        </is>
      </c>
      <c r="E99" s="23" t="inlineStr">
        <is>
          <t>Kenya Road, Asinge 'b' A, Tororo, Eastern Region, Uganda</t>
        </is>
      </c>
    </row>
    <row r="100">
      <c r="A100" s="23" t="inlineStr">
        <is>
          <t>UBQ765P</t>
        </is>
      </c>
      <c r="B100" s="23" t="inlineStr">
        <is>
          <t>N/A</t>
        </is>
      </c>
      <c r="C100" s="23" t="inlineStr">
        <is>
          <t>Online</t>
        </is>
      </c>
      <c r="D100" s="23" t="inlineStr">
        <is>
          <t>N/A</t>
        </is>
      </c>
      <c r="E100" s="23" t="inlineStr">
        <is>
          <t>Soroti, UgandaPHXF+MVJ, Soroti, Uganda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</cols>
  <sheetData>
    <row r="1">
      <c r="A1" s="14" t="inlineStr">
        <is>
          <t>Setting</t>
        </is>
      </c>
      <c r="B1" s="14" t="inlineStr">
        <is>
          <t>Value Used For This Report</t>
        </is>
      </c>
    </row>
    <row r="2">
      <c r="A2" t="inlineStr">
        <is>
          <t>Offline Threshold (days)</t>
        </is>
      </c>
      <c r="B2" t="n">
        <v>2</v>
      </c>
    </row>
    <row r="3">
      <c r="A3" t="inlineStr">
        <is>
          <t>High Priority Threshold (days)</t>
        </is>
      </c>
      <c r="B3" t="n">
        <v>7</v>
      </c>
    </row>
    <row r="4">
      <c r="A4" t="inlineStr">
        <is>
          <t>Long-term Fault Threshold (days)</t>
        </is>
      </c>
      <c r="B4" t="n">
        <v>30</v>
      </c>
    </row>
    <row r="5">
      <c r="A5" t="inlineStr">
        <is>
          <t>Border Radius (km)</t>
        </is>
      </c>
      <c r="B5" t="n">
        <v>20</v>
      </c>
    </row>
    <row r="6">
      <c r="A6" t="inlineStr">
        <is>
          <t>Ignore Demo Vehicles</t>
        </is>
      </c>
      <c r="B6" t="b">
        <v>1</v>
      </c>
    </row>
    <row r="8">
      <c r="A8" t="inlineStr">
        <is>
          <t>Settings file location</t>
        </is>
      </c>
      <c r="B8" t="inlineStr">
        <is>
          <t>C:\Users\USER1\Box\DEV projects\gtl_control_room\data\settings.ini</t>
        </is>
      </c>
    </row>
    <row r="9">
      <c r="A9" t="inlineStr">
        <is>
          <t>To change these values</t>
        </is>
      </c>
      <c r="B9" t="inlineStr">
        <is>
          <t>Edit settings.ini next to the EXE, then re-run. No code changes needed.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2026-07-25T16:16:13Z</dcterms:created>
  <dcterms:modified xsi:type="dcterms:W3CDTF">2026-07-25T16:16:14Z</dcterms:modified>
</cp:coreProperties>
</file>